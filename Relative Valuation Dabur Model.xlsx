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7_ Relative Valuation\Relative_Valuation-\"/>
    </mc:Choice>
  </mc:AlternateContent>
  <xr:revisionPtr revIDLastSave="0" documentId="13_ncr:1_{8C6DAD9D-92C0-4EF3-A5A3-AF3935678A50}" xr6:coauthVersionLast="47" xr6:coauthVersionMax="47" xr10:uidLastSave="{00000000-0000-0000-0000-000000000000}"/>
  <bookViews>
    <workbookView xWindow="-110" yWindow="-110" windowWidth="19420" windowHeight="10300" xr2:uid="{F1C953F3-56CD-4E73-8634-2FF7361C442D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 a="1"/>
  <c r="O21" i="1" s="1"/>
  <c r="L20" i="1"/>
  <c r="C45" i="1"/>
  <c r="B45" i="1"/>
  <c r="B44" i="1"/>
  <c r="B46" i="1" s="1"/>
  <c r="C41" i="1"/>
  <c r="O7" i="1"/>
  <c r="O8" i="1"/>
  <c r="O9" i="1"/>
  <c r="O10" i="1"/>
  <c r="O11" i="1"/>
  <c r="O12" i="1"/>
  <c r="O13" i="1"/>
  <c r="O14" i="1"/>
  <c r="O15" i="1"/>
  <c r="O16" i="1"/>
  <c r="O6" i="1"/>
  <c r="B43" i="1"/>
  <c r="B42" i="1"/>
  <c r="B41" i="1"/>
  <c r="C35" i="1"/>
  <c r="B35" i="1"/>
  <c r="C32" i="1"/>
  <c r="B32" i="1"/>
  <c r="N16" i="1"/>
  <c r="N7" i="1"/>
  <c r="N8" i="1"/>
  <c r="N9" i="1"/>
  <c r="N10" i="1"/>
  <c r="N11" i="1"/>
  <c r="N12" i="1"/>
  <c r="N13" i="1"/>
  <c r="N14" i="1"/>
  <c r="N15" i="1"/>
  <c r="N6" i="1"/>
  <c r="D7" i="1"/>
  <c r="D8" i="1"/>
  <c r="D9" i="1"/>
  <c r="D10" i="1"/>
  <c r="D11" i="1"/>
  <c r="D12" i="1"/>
  <c r="D13" i="1"/>
  <c r="D14" i="1"/>
  <c r="M14" i="1" s="1"/>
  <c r="D15" i="1"/>
  <c r="D16" i="1"/>
  <c r="M16" i="1" s="1"/>
  <c r="D6" i="1"/>
  <c r="N19" i="1" l="1" a="1"/>
  <c r="N19" i="1" s="1"/>
  <c r="L16" i="1"/>
  <c r="N18" i="1" a="1"/>
  <c r="N18" i="1" s="1"/>
  <c r="N23" i="1" a="1"/>
  <c r="N23" i="1" s="1"/>
  <c r="N22" i="1" a="1"/>
  <c r="N22" i="1" s="1"/>
  <c r="N20" i="1"/>
  <c r="N21" i="1" a="1"/>
  <c r="N21" i="1" s="1"/>
  <c r="M15" i="1"/>
  <c r="M13" i="1"/>
  <c r="M12" i="1"/>
  <c r="M11" i="1"/>
  <c r="M10" i="1"/>
  <c r="M9" i="1"/>
  <c r="M8" i="1"/>
  <c r="M7" i="1"/>
  <c r="M6" i="1"/>
  <c r="O22" i="1" l="1" a="1"/>
  <c r="O22" i="1" s="1"/>
  <c r="O19" i="1" a="1"/>
  <c r="O19" i="1" s="1"/>
  <c r="O23" i="1" a="1"/>
  <c r="O23" i="1" s="1"/>
  <c r="O18" i="1" a="1"/>
  <c r="O18" i="1" s="1"/>
  <c r="C42" i="1"/>
  <c r="C43" i="1" s="1"/>
  <c r="C44" i="1" s="1"/>
  <c r="C46" i="1" s="1"/>
  <c r="O20" i="1"/>
  <c r="M19" i="1" a="1"/>
  <c r="M19" i="1" s="1"/>
  <c r="M18" i="1" a="1"/>
  <c r="M18" i="1" s="1"/>
  <c r="M21" i="1" a="1"/>
  <c r="M21" i="1" s="1"/>
  <c r="C33" i="1" s="1"/>
  <c r="C34" i="1" s="1"/>
  <c r="C36" i="1" s="1"/>
  <c r="M20" i="1"/>
  <c r="M22" i="1" a="1"/>
  <c r="M22" i="1" s="1"/>
  <c r="M23" i="1" a="1"/>
  <c r="M23" i="1" s="1"/>
  <c r="L9" i="1"/>
  <c r="L13" i="1"/>
  <c r="L8" i="1"/>
  <c r="L12" i="1"/>
  <c r="L7" i="1"/>
  <c r="L11" i="1"/>
  <c r="L15" i="1"/>
  <c r="L6" i="1"/>
  <c r="L10" i="1"/>
  <c r="L14" i="1"/>
  <c r="L23" i="1" l="1" a="1"/>
  <c r="L23" i="1" s="1"/>
  <c r="L21" i="1" a="1"/>
  <c r="L21" i="1" s="1"/>
  <c r="B33" i="1" s="1"/>
  <c r="B34" i="1" s="1"/>
  <c r="B36" i="1" s="1"/>
  <c r="L22" i="1" a="1"/>
  <c r="L22" i="1" s="1"/>
  <c r="L19" i="1" a="1"/>
  <c r="L19" i="1" s="1"/>
  <c r="L18" i="1" a="1"/>
  <c r="L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<sst xmlns="http://schemas.openxmlformats.org/spreadsheetml/2006/main" count="65" uniqueCount="62">
  <si>
    <t xml:space="preserve">COMPARABLE COMPANY VALUATION </t>
  </si>
  <si>
    <t xml:space="preserve">Company </t>
  </si>
  <si>
    <t>Share Price</t>
  </si>
  <si>
    <t xml:space="preserve">Equity Value </t>
  </si>
  <si>
    <t>Net Debt</t>
  </si>
  <si>
    <t xml:space="preserve">Enterprise Value </t>
  </si>
  <si>
    <t>Revenue</t>
  </si>
  <si>
    <t>EBITDA</t>
  </si>
  <si>
    <t>Net Income</t>
  </si>
  <si>
    <t>EV/ Revenue</t>
  </si>
  <si>
    <t>EV/EBITDA</t>
  </si>
  <si>
    <t>P/E</t>
  </si>
  <si>
    <t>High</t>
  </si>
  <si>
    <t>Upper Quartile</t>
  </si>
  <si>
    <t>Average</t>
  </si>
  <si>
    <t>Median</t>
  </si>
  <si>
    <t>Lower Quartile</t>
  </si>
  <si>
    <t xml:space="preserve">Low </t>
  </si>
  <si>
    <t xml:space="preserve">Implied Enterprise Value </t>
  </si>
  <si>
    <t>Market Variables</t>
  </si>
  <si>
    <t>Financial  Variabeles</t>
  </si>
  <si>
    <t xml:space="preserve">Valuation Multiples </t>
  </si>
  <si>
    <t>Enterprise Value Multiple</t>
  </si>
  <si>
    <t>P/BV</t>
  </si>
  <si>
    <t>Market Price Multiple</t>
  </si>
  <si>
    <t xml:space="preserve">Book Value </t>
  </si>
  <si>
    <t xml:space="preserve">Implied Equity Value </t>
  </si>
  <si>
    <t>EV/Revenue - Multiple</t>
  </si>
  <si>
    <t>Target Company Revenue, EBITDA</t>
  </si>
  <si>
    <t xml:space="preserve">Enterprise Value and Equity Value  Based on Market Price Multiples  </t>
  </si>
  <si>
    <t xml:space="preserve">Enterprise Value and Equity Value of Target Company Based on Enterprise Value Multiples  </t>
  </si>
  <si>
    <t xml:space="preserve">Target Company Book Value, EPS </t>
  </si>
  <si>
    <t xml:space="preserve">P/BV Multple </t>
  </si>
  <si>
    <t>P/E Multiple</t>
  </si>
  <si>
    <t>Bajaj Consumer Care Ltd.</t>
  </si>
  <si>
    <t>Britannia Industries Ltd.</t>
  </si>
  <si>
    <t>Colgate-Palmolive (India) Ltd.</t>
  </si>
  <si>
    <t>Emami Ltd.</t>
  </si>
  <si>
    <t>Godrej Industries Ltd.</t>
  </si>
  <si>
    <t>Jyothy Labs Ltd.</t>
  </si>
  <si>
    <t>Marico Ltd.</t>
  </si>
  <si>
    <t>Nestle India Ltd.</t>
  </si>
  <si>
    <t>Patanjali Foods Ltd.</t>
  </si>
  <si>
    <t>Tata Consumer Products Ltd.</t>
  </si>
  <si>
    <t>Zydus Wellness Ltd.</t>
  </si>
  <si>
    <t>Debt</t>
  </si>
  <si>
    <t>PBDITA</t>
  </si>
  <si>
    <t>Dabur India Ltd.</t>
  </si>
  <si>
    <t>Total income</t>
  </si>
  <si>
    <t>PAT net of P&amp;E</t>
  </si>
  <si>
    <t>Long term borrowings excl current portion</t>
  </si>
  <si>
    <t xml:space="preserve">Peer Median </t>
  </si>
  <si>
    <t>Target Company Debt</t>
  </si>
  <si>
    <t>Adjusted Closing Price</t>
  </si>
  <si>
    <t>Market Capitalisation</t>
  </si>
  <si>
    <t>BV per Share</t>
  </si>
  <si>
    <t>EPS</t>
  </si>
  <si>
    <t>Peer Median P/BV and P/E Multiple</t>
  </si>
  <si>
    <t>Implied Equity Value  per share</t>
  </si>
  <si>
    <t>No. of Shares Outstanding(in millions)</t>
  </si>
  <si>
    <t>( Values in Millions)</t>
  </si>
  <si>
    <t>Equity Value (total in Rs. Millons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</si>
</sst>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Yu Gothic UI"/>
      <family val="2"/>
    </font>
    <font>
      <sz val="10"/>
      <color theme="1"/>
      <name val="Yu Gothic UI"/>
      <family val="2"/>
    </font>
    <font>
      <i/>
      <sz val="8"/>
      <color theme="1"/>
      <name val="Yu Gothic UI"/>
      <family val="2"/>
    </font>
    <font>
      <b/>
      <sz val="10"/>
      <color theme="0"/>
      <name val="Yu Gothic UI"/>
      <family val="2"/>
    </font>
    <font>
      <b/>
      <sz val="10"/>
      <color theme="1"/>
      <name val="Yu Gothic UI"/>
      <family val="2"/>
    </font>
    <font>
      <sz val="10"/>
      <color rgb="FF0070C0"/>
      <name val="Yu Gothic UI"/>
      <family val="2"/>
    </font>
    <font>
      <b/>
      <sz val="10"/>
      <name val="Yu Gothic UI"/>
      <family val="2"/>
    </font>
    <font>
      <sz val="8"/>
      <name val="Calibri"/>
      <family val="2"/>
      <scheme val="minor"/>
    </font>
    <font>
      <sz val="10"/>
      <name val="Yu Gothic U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166" fontId="3" fillId="0" borderId="2" xfId="1" applyNumberFormat="1" applyFont="1" applyFill="1" applyBorder="1" applyAlignment="1">
      <alignment vertical="center" wrapText="1"/>
    </xf>
    <xf numFmtId="165" fontId="3" fillId="0" borderId="0" xfId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167" fontId="8" fillId="0" borderId="4" xfId="0" applyNumberFormat="1" applyFont="1" applyBorder="1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6" fontId="3" fillId="0" borderId="0" xfId="1" applyNumberFormat="1" applyFont="1" applyFill="1" applyBorder="1" applyAlignment="1">
      <alignment vertical="center" wrapText="1"/>
    </xf>
    <xf numFmtId="167" fontId="3" fillId="0" borderId="0" xfId="0" applyNumberFormat="1" applyFont="1" applyAlignment="1">
      <alignment horizontal="right" vertical="center" wrapText="1"/>
    </xf>
    <xf numFmtId="17" fontId="0" fillId="0" borderId="0" xfId="0" applyNumberFormat="1"/>
    <xf numFmtId="0" fontId="11" fillId="0" borderId="0" xfId="0" applyFont="1"/>
    <xf numFmtId="3" fontId="0" fillId="0" borderId="0" xfId="0" applyNumberFormat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3" fontId="3" fillId="0" borderId="2" xfId="1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" fillId="0" borderId="0" xfId="1" applyNumberFormat="1" applyFont="1" applyFill="1" applyBorder="1" applyAlignment="1">
      <alignment vertical="center" wrapText="1"/>
    </xf>
    <xf numFmtId="0" fontId="6" fillId="3" borderId="0" xfId="0" applyFont="1" applyFill="1" applyAlignment="1">
      <alignment horizontal="center" wrapText="1"/>
    </xf>
    <xf numFmtId="167" fontId="3" fillId="3" borderId="2" xfId="0" applyNumberFormat="1" applyFont="1" applyFill="1" applyBorder="1" applyAlignment="1">
      <alignment horizontal="right" vertical="center" wrapText="1"/>
    </xf>
    <xf numFmtId="167" fontId="10" fillId="0" borderId="4" xfId="0" applyNumberFormat="1" applyFont="1" applyBorder="1" applyAlignment="1">
      <alignment vertical="center"/>
    </xf>
    <xf numFmtId="168" fontId="10" fillId="0" borderId="3" xfId="0" applyNumberFormat="1" applyFont="1" applyBorder="1" applyAlignment="1">
      <alignment vertical="center"/>
    </xf>
    <xf numFmtId="167" fontId="8" fillId="0" borderId="4" xfId="0" applyNumberFormat="1" applyFont="1" applyBorder="1" applyAlignment="1">
      <alignment vertical="center"/>
    </xf>
    <xf numFmtId="167" fontId="10" fillId="0" borderId="0" xfId="0" applyNumberFormat="1" applyFont="1" applyAlignment="1">
      <alignment vertical="center"/>
    </xf>
    <xf numFmtId="4" fontId="0" fillId="0" borderId="0" xfId="0" applyNumberFormat="1"/>
    <xf numFmtId="0" fontId="6" fillId="0" borderId="0" xfId="0" applyFont="1" applyAlignment="1">
      <alignment vertical="center" wrapText="1"/>
    </xf>
    <xf numFmtId="0" fontId="8" fillId="4" borderId="0" xfId="0" applyFont="1" applyFill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3" fontId="10" fillId="4" borderId="0" xfId="0" applyNumberFormat="1" applyFont="1" applyFill="1" applyAlignment="1">
      <alignment vertical="center" wrapText="1"/>
    </xf>
    <xf numFmtId="167" fontId="10" fillId="4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4" fontId="10" fillId="4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3" fontId="8" fillId="4" borderId="0" xfId="0" applyNumberFormat="1" applyFont="1" applyFill="1" applyAlignment="1">
      <alignment vertical="center" wrapText="1"/>
    </xf>
    <xf numFmtId="4" fontId="8" fillId="4" borderId="0" xfId="0" applyNumberFormat="1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C5C2-4FE5-41EF-A984-6AE031A18699}">
  <dimension ref="A1:Q46"/>
  <sheetViews>
    <sheetView tabSelected="1" topLeftCell="A14" zoomScale="115" zoomScaleNormal="115" workbookViewId="0">
      <selection activeCell="A20" sqref="A20"/>
    </sheetView>
  </sheetViews>
  <sheetFormatPr defaultColWidth="8.81640625" defaultRowHeight="16" x14ac:dyDescent="0.35"/>
  <cols>
    <col min="1" max="1" width="38.1796875" style="2" customWidth="1"/>
    <col min="2" max="2" width="19" style="1" customWidth="1"/>
    <col min="3" max="3" width="22.54296875" style="1" customWidth="1"/>
    <col min="4" max="4" width="16.26953125" style="1" customWidth="1"/>
    <col min="5" max="5" width="14.81640625" style="1" customWidth="1"/>
    <col min="6" max="8" width="10.453125" style="2" customWidth="1"/>
    <col min="9" max="9" width="11.453125" style="1" customWidth="1"/>
    <col min="10" max="11" width="13.453125" style="1" customWidth="1"/>
    <col min="12" max="13" width="11.7265625" style="2" customWidth="1"/>
    <col min="14" max="14" width="8.6328125" style="2" customWidth="1"/>
    <col min="15" max="15" width="11.7265625" style="2" customWidth="1"/>
    <col min="16" max="16384" width="8.81640625" style="2"/>
  </cols>
  <sheetData>
    <row r="1" spans="1:16" ht="16.5" x14ac:dyDescent="0.35">
      <c r="A1" s="19" t="s">
        <v>0</v>
      </c>
      <c r="B1" s="49" t="s">
        <v>60</v>
      </c>
    </row>
    <row r="2" spans="1:16" x14ac:dyDescent="0.35">
      <c r="A2" s="3"/>
    </row>
    <row r="3" spans="1:16" ht="16.5" customHeight="1" thickBot="1" x14ac:dyDescent="0.4">
      <c r="A3" s="4"/>
      <c r="B3" s="59" t="s">
        <v>19</v>
      </c>
      <c r="C3" s="59"/>
      <c r="D3" s="59"/>
      <c r="F3" s="61" t="s">
        <v>20</v>
      </c>
      <c r="G3" s="61"/>
      <c r="H3" s="61"/>
      <c r="I3" s="61"/>
      <c r="J3" s="61"/>
      <c r="L3" s="59" t="s">
        <v>21</v>
      </c>
      <c r="M3" s="59"/>
      <c r="N3" s="59"/>
      <c r="O3" s="59"/>
    </row>
    <row r="4" spans="1:16" x14ac:dyDescent="0.35">
      <c r="L4" s="60" t="s">
        <v>22</v>
      </c>
      <c r="M4" s="60"/>
      <c r="N4" s="60" t="s">
        <v>24</v>
      </c>
      <c r="O4" s="60"/>
    </row>
    <row r="5" spans="1:16" s="9" customFormat="1" ht="32" x14ac:dyDescent="0.45">
      <c r="A5" s="5" t="s">
        <v>1</v>
      </c>
      <c r="B5" s="6" t="s">
        <v>2</v>
      </c>
      <c r="C5" s="6" t="s">
        <v>3</v>
      </c>
      <c r="D5" s="6" t="s">
        <v>5</v>
      </c>
      <c r="E5" s="7" t="s">
        <v>56</v>
      </c>
      <c r="F5" s="6" t="s">
        <v>6</v>
      </c>
      <c r="G5" s="6" t="s">
        <v>7</v>
      </c>
      <c r="H5" s="6" t="s">
        <v>8</v>
      </c>
      <c r="I5" s="6" t="s">
        <v>45</v>
      </c>
      <c r="J5" s="6" t="s">
        <v>25</v>
      </c>
      <c r="K5" s="6"/>
      <c r="L5" s="42" t="s">
        <v>9</v>
      </c>
      <c r="M5" s="42" t="s">
        <v>10</v>
      </c>
      <c r="N5" s="42" t="s">
        <v>23</v>
      </c>
      <c r="O5" s="42" t="s">
        <v>11</v>
      </c>
      <c r="P5" s="8"/>
    </row>
    <row r="6" spans="1:16" x14ac:dyDescent="0.35">
      <c r="A6" t="s">
        <v>34</v>
      </c>
      <c r="B6" s="37">
        <v>176.97499999999999</v>
      </c>
      <c r="C6" s="37">
        <v>25919.157500000001</v>
      </c>
      <c r="D6" s="38">
        <f>C6+I6</f>
        <v>25969.607500000002</v>
      </c>
      <c r="E6">
        <v>12.420000000000002</v>
      </c>
      <c r="F6" s="38">
        <v>9493.7200000000012</v>
      </c>
      <c r="G6" s="38">
        <v>2246.56</v>
      </c>
      <c r="H6" s="38">
        <v>1774.1800000000003</v>
      </c>
      <c r="I6" s="39">
        <v>50.45</v>
      </c>
      <c r="J6" s="37">
        <v>53.325000000000003</v>
      </c>
      <c r="K6" s="10"/>
      <c r="L6" s="43">
        <f t="shared" ref="L6:L15" si="0">+D6/F6</f>
        <v>2.7354511719326036</v>
      </c>
      <c r="M6" s="43">
        <f t="shared" ref="M6:M15" si="1">+D6/G6</f>
        <v>11.559721307243075</v>
      </c>
      <c r="N6" s="43">
        <f>B6/J6</f>
        <v>3.3187998124706981</v>
      </c>
      <c r="O6" s="43">
        <f>B6/E6</f>
        <v>14.249194847020931</v>
      </c>
      <c r="P6" s="11"/>
    </row>
    <row r="7" spans="1:16" x14ac:dyDescent="0.35">
      <c r="A7" t="s">
        <v>35</v>
      </c>
      <c r="B7" s="37">
        <v>3461.0124999999998</v>
      </c>
      <c r="C7" s="37">
        <v>833334.09</v>
      </c>
      <c r="D7" s="38">
        <f t="shared" ref="D7:D16" si="2">C7+I7</f>
        <v>842531.45</v>
      </c>
      <c r="E7">
        <v>69.944999999999993</v>
      </c>
      <c r="F7" s="38">
        <v>140446.68</v>
      </c>
      <c r="G7" s="38">
        <v>27388.519999999997</v>
      </c>
      <c r="H7" s="38">
        <v>17636.440000000002</v>
      </c>
      <c r="I7" s="39">
        <v>9197.36</v>
      </c>
      <c r="J7" s="37">
        <v>136.845</v>
      </c>
      <c r="K7" s="10"/>
      <c r="L7" s="43">
        <f t="shared" si="0"/>
        <v>5.9989417336173414</v>
      </c>
      <c r="M7" s="43">
        <f t="shared" si="1"/>
        <v>30.762211685771998</v>
      </c>
      <c r="N7" s="43">
        <f t="shared" ref="N7:N15" si="3">B7/J7</f>
        <v>25.291479411012457</v>
      </c>
      <c r="O7" s="43">
        <f t="shared" ref="O7:O16" si="4">B7/E7</f>
        <v>49.48191436128387</v>
      </c>
    </row>
    <row r="8" spans="1:16" x14ac:dyDescent="0.35">
      <c r="A8" t="s">
        <v>36</v>
      </c>
      <c r="B8" s="37">
        <v>1465.25</v>
      </c>
      <c r="C8" s="37">
        <v>398549.04999999993</v>
      </c>
      <c r="D8" s="38">
        <f t="shared" si="2"/>
        <v>399242.30999999994</v>
      </c>
      <c r="E8">
        <v>35.555</v>
      </c>
      <c r="F8" s="38">
        <v>52450.659999999996</v>
      </c>
      <c r="G8" s="38">
        <v>16056.759999999998</v>
      </c>
      <c r="H8" s="38">
        <v>10423.14</v>
      </c>
      <c r="I8" s="39">
        <v>693.26</v>
      </c>
      <c r="J8" s="37">
        <v>57.09</v>
      </c>
      <c r="K8" s="10"/>
      <c r="L8" s="43">
        <f t="shared" si="0"/>
        <v>7.6117690416097714</v>
      </c>
      <c r="M8" s="43">
        <f t="shared" si="1"/>
        <v>24.864437781968466</v>
      </c>
      <c r="N8" s="43">
        <f t="shared" si="3"/>
        <v>25.665615694517427</v>
      </c>
      <c r="O8" s="43">
        <f t="shared" si="4"/>
        <v>41.210800168752634</v>
      </c>
    </row>
    <row r="9" spans="1:16" x14ac:dyDescent="0.35">
      <c r="A9" t="s">
        <v>37</v>
      </c>
      <c r="B9" s="37">
        <v>365.96249999999998</v>
      </c>
      <c r="C9" s="37">
        <v>162243.66250000001</v>
      </c>
      <c r="D9" s="38">
        <f t="shared" si="2"/>
        <v>162289.4425</v>
      </c>
      <c r="E9">
        <v>11.105</v>
      </c>
      <c r="F9" s="38">
        <v>28672.22</v>
      </c>
      <c r="G9" s="38">
        <v>9427.2199999999975</v>
      </c>
      <c r="H9" s="38">
        <v>5290.7199999999993</v>
      </c>
      <c r="I9" s="39">
        <v>45.78</v>
      </c>
      <c r="J9" s="37">
        <v>44.482500000000002</v>
      </c>
      <c r="K9" s="10"/>
      <c r="L9" s="43">
        <f t="shared" si="0"/>
        <v>5.6601631300262065</v>
      </c>
      <c r="M9" s="43">
        <f t="shared" si="1"/>
        <v>17.214984109843627</v>
      </c>
      <c r="N9" s="43">
        <f t="shared" si="3"/>
        <v>8.2271117855336353</v>
      </c>
      <c r="O9" s="43">
        <f t="shared" si="4"/>
        <v>32.954750112561904</v>
      </c>
    </row>
    <row r="10" spans="1:16" x14ac:dyDescent="0.35">
      <c r="A10" t="s">
        <v>38</v>
      </c>
      <c r="B10" s="37">
        <v>423.26249999999999</v>
      </c>
      <c r="C10" s="37">
        <v>142608.20000000001</v>
      </c>
      <c r="D10" s="38">
        <f t="shared" si="2"/>
        <v>167237.30000000002</v>
      </c>
      <c r="E10">
        <v>0.49249999999999994</v>
      </c>
      <c r="F10" s="38">
        <v>30278.46</v>
      </c>
      <c r="G10" s="38">
        <v>4701.3799999999992</v>
      </c>
      <c r="H10" s="38">
        <v>-271.12</v>
      </c>
      <c r="I10" s="39">
        <v>24629.1</v>
      </c>
      <c r="J10" s="37">
        <v>47.217500000000001</v>
      </c>
      <c r="K10" s="10"/>
      <c r="L10" s="43">
        <f t="shared" si="0"/>
        <v>5.5233093096544543</v>
      </c>
      <c r="M10" s="43">
        <f t="shared" si="1"/>
        <v>35.571959722464477</v>
      </c>
      <c r="N10" s="43">
        <f t="shared" si="3"/>
        <v>8.9641022925821989</v>
      </c>
      <c r="O10" s="43">
        <f t="shared" si="4"/>
        <v>859.41624365482244</v>
      </c>
    </row>
    <row r="11" spans="1:16" x14ac:dyDescent="0.35">
      <c r="A11" t="s">
        <v>39</v>
      </c>
      <c r="B11" s="37">
        <v>142.28749999999999</v>
      </c>
      <c r="C11" s="37">
        <v>52148.214999999997</v>
      </c>
      <c r="D11" s="38">
        <f t="shared" si="2"/>
        <v>52417.534999999996</v>
      </c>
      <c r="E11">
        <v>4.8550000000000004</v>
      </c>
      <c r="F11" s="38">
        <v>25550.32</v>
      </c>
      <c r="G11" s="38">
        <v>3506.2400000000002</v>
      </c>
      <c r="H11" s="38">
        <v>2143.56</v>
      </c>
      <c r="I11" s="39">
        <v>269.32</v>
      </c>
      <c r="J11" s="37">
        <v>22.405000000000001</v>
      </c>
      <c r="K11" s="10"/>
      <c r="L11" s="43">
        <f t="shared" si="0"/>
        <v>2.0515412331430682</v>
      </c>
      <c r="M11" s="43">
        <f t="shared" si="1"/>
        <v>14.949785240029202</v>
      </c>
      <c r="N11" s="43">
        <f t="shared" si="3"/>
        <v>6.3507029680874796</v>
      </c>
      <c r="O11" s="43">
        <f t="shared" si="4"/>
        <v>29.30741503604531</v>
      </c>
    </row>
    <row r="12" spans="1:16" x14ac:dyDescent="0.35">
      <c r="A12" t="s">
        <v>40</v>
      </c>
      <c r="B12" s="37">
        <v>417.42500000000001</v>
      </c>
      <c r="C12" s="37">
        <v>539399.89249999996</v>
      </c>
      <c r="D12" s="38">
        <f t="shared" si="2"/>
        <v>540285.89249999996</v>
      </c>
      <c r="E12">
        <v>8.73</v>
      </c>
      <c r="F12" s="38">
        <v>78714</v>
      </c>
      <c r="G12" s="38">
        <v>15194</v>
      </c>
      <c r="H12" s="38">
        <v>11150</v>
      </c>
      <c r="I12" s="39">
        <v>886</v>
      </c>
      <c r="J12" s="37">
        <v>24.475000000000001</v>
      </c>
      <c r="K12" s="10"/>
      <c r="L12" s="43">
        <f t="shared" si="0"/>
        <v>6.8639110259928344</v>
      </c>
      <c r="M12" s="43">
        <f t="shared" si="1"/>
        <v>35.559161017506909</v>
      </c>
      <c r="N12" s="43">
        <f t="shared" si="3"/>
        <v>17.055158324821246</v>
      </c>
      <c r="O12" s="43">
        <f t="shared" si="4"/>
        <v>47.815005727376864</v>
      </c>
    </row>
    <row r="13" spans="1:16" x14ac:dyDescent="0.35">
      <c r="A13" t="s">
        <v>41</v>
      </c>
      <c r="B13" s="37">
        <v>881.7650000000001</v>
      </c>
      <c r="C13" s="37">
        <v>1700437.5825</v>
      </c>
      <c r="D13" s="38">
        <f t="shared" si="2"/>
        <v>1702351.0024999999</v>
      </c>
      <c r="E13">
        <v>229.0925</v>
      </c>
      <c r="F13" s="38">
        <v>170421.58</v>
      </c>
      <c r="G13" s="38">
        <v>38832.720000000001</v>
      </c>
      <c r="H13" s="38">
        <v>24809.460000000003</v>
      </c>
      <c r="I13" s="39">
        <v>1913.42</v>
      </c>
      <c r="J13" s="37">
        <v>280.00749999999999</v>
      </c>
      <c r="K13" s="10"/>
      <c r="L13" s="43">
        <f t="shared" si="0"/>
        <v>9.9890577384624653</v>
      </c>
      <c r="M13" s="43">
        <f t="shared" si="1"/>
        <v>43.838057249144534</v>
      </c>
      <c r="N13" s="43">
        <f t="shared" si="3"/>
        <v>3.149076364025964</v>
      </c>
      <c r="O13" s="43">
        <f t="shared" si="4"/>
        <v>3.8489474775472794</v>
      </c>
    </row>
    <row r="14" spans="1:16" x14ac:dyDescent="0.35">
      <c r="A14" t="s">
        <v>42</v>
      </c>
      <c r="B14" s="38">
        <v>684.11249999999995</v>
      </c>
      <c r="C14" s="38">
        <v>234409.01750000002</v>
      </c>
      <c r="D14" s="38">
        <f t="shared" si="2"/>
        <v>250516.59750000003</v>
      </c>
      <c r="E14">
        <v>-29.752500000000001</v>
      </c>
      <c r="F14" s="38">
        <v>261798.91999999998</v>
      </c>
      <c r="G14" s="38">
        <v>39254.639999999999</v>
      </c>
      <c r="H14" s="38">
        <v>-4872.3400000000011</v>
      </c>
      <c r="I14" s="39">
        <v>16107.580000000002</v>
      </c>
      <c r="J14" s="39">
        <v>164.61750000000001</v>
      </c>
      <c r="K14" s="10"/>
      <c r="L14" s="43">
        <f t="shared" si="0"/>
        <v>0.95690462550418487</v>
      </c>
      <c r="M14" s="43">
        <f>+D14/G14</f>
        <v>6.381834032868472</v>
      </c>
      <c r="N14" s="43">
        <f t="shared" si="3"/>
        <v>4.1557701945418923</v>
      </c>
      <c r="O14" s="43">
        <f t="shared" si="4"/>
        <v>-22.993445928913534</v>
      </c>
    </row>
    <row r="15" spans="1:16" x14ac:dyDescent="0.35">
      <c r="A15" t="s">
        <v>43</v>
      </c>
      <c r="B15" s="38">
        <v>597.72</v>
      </c>
      <c r="C15" s="38">
        <v>558931.01749999996</v>
      </c>
      <c r="D15" s="38">
        <f t="shared" si="2"/>
        <v>560923.75749999995</v>
      </c>
      <c r="E15">
        <v>8.52</v>
      </c>
      <c r="F15" s="38">
        <v>83225.399999999994</v>
      </c>
      <c r="G15" s="38">
        <v>13094.320000000002</v>
      </c>
      <c r="H15" s="38">
        <v>8483.02</v>
      </c>
      <c r="I15" s="39">
        <v>1992.7400000000002</v>
      </c>
      <c r="J15" s="39">
        <v>127.60749999999999</v>
      </c>
      <c r="K15" s="10"/>
      <c r="L15" s="43">
        <f t="shared" si="0"/>
        <v>6.739814497737469</v>
      </c>
      <c r="M15" s="43">
        <f t="shared" si="1"/>
        <v>42.837181121280061</v>
      </c>
      <c r="N15" s="43">
        <f t="shared" si="3"/>
        <v>4.6840507023490003</v>
      </c>
      <c r="O15" s="43">
        <f t="shared" si="4"/>
        <v>70.154929577464799</v>
      </c>
      <c r="P15" s="11"/>
    </row>
    <row r="16" spans="1:16" x14ac:dyDescent="0.35">
      <c r="A16" t="s">
        <v>44</v>
      </c>
      <c r="B16" s="40">
        <v>1580.1125000000002</v>
      </c>
      <c r="C16" s="40">
        <v>98624.182499999995</v>
      </c>
      <c r="D16" s="38">
        <f t="shared" si="2"/>
        <v>101628.46249999999</v>
      </c>
      <c r="E16">
        <v>-5.7950000000000008</v>
      </c>
      <c r="F16" s="40">
        <v>2466.48</v>
      </c>
      <c r="G16" s="40">
        <v>438.17999999999995</v>
      </c>
      <c r="H16" s="40">
        <v>-220.16000000000003</v>
      </c>
      <c r="I16" s="41">
        <v>3004.2799999999997</v>
      </c>
      <c r="J16" s="41">
        <v>612.94499999999994</v>
      </c>
      <c r="K16" s="33"/>
      <c r="L16" s="43">
        <f t="shared" ref="L16" si="5">+D16/F16</f>
        <v>41.203846169439849</v>
      </c>
      <c r="M16" s="43">
        <f>+D16/G16</f>
        <v>231.93313820804238</v>
      </c>
      <c r="N16" s="43">
        <f>B16/J16</f>
        <v>2.5779025850606505</v>
      </c>
      <c r="O16" s="43">
        <f t="shared" si="4"/>
        <v>-272.66824849007764</v>
      </c>
      <c r="P16" s="11"/>
    </row>
    <row r="17" spans="1:17" x14ac:dyDescent="0.35">
      <c r="B17" s="32"/>
      <c r="C17" s="32"/>
      <c r="D17" s="32"/>
      <c r="F17" s="32"/>
      <c r="G17" s="32"/>
      <c r="H17" s="32"/>
      <c r="I17" s="33"/>
      <c r="J17" s="33"/>
      <c r="K17" s="33"/>
      <c r="L17" s="34"/>
      <c r="M17" s="34"/>
      <c r="N17" s="34"/>
      <c r="O17" s="34"/>
      <c r="P17" s="11"/>
    </row>
    <row r="18" spans="1:17" x14ac:dyDescent="0.35">
      <c r="A18" s="36" t="s">
        <v>47</v>
      </c>
      <c r="B18" s="32"/>
      <c r="C18" s="32"/>
      <c r="D18" s="32"/>
      <c r="F18" s="32"/>
      <c r="G18" s="32"/>
      <c r="H18" s="32"/>
      <c r="I18" s="33"/>
      <c r="J18" s="33"/>
      <c r="K18" s="28" t="s">
        <v>12</v>
      </c>
      <c r="L18" s="44" cm="1">
        <f t="array" ref="L18">MAX(IF(L6:L16&gt;0,L6:L16))</f>
        <v>41.203846169439849</v>
      </c>
      <c r="M18" s="44" cm="1">
        <f t="array" ref="M18">MAX(IF(M6:M16&gt;0,M6:M16))</f>
        <v>231.93313820804238</v>
      </c>
      <c r="N18" s="44" cm="1">
        <f t="array" ref="N18">MAX(IF(N6:N16&gt;0,N6:N16))</f>
        <v>25.665615694517427</v>
      </c>
      <c r="O18" s="44" cm="1">
        <f t="array" ref="O18">MAX(IF(O6:O16&gt;0,O6:O16))</f>
        <v>859.41624365482244</v>
      </c>
      <c r="P18" s="11"/>
    </row>
    <row r="19" spans="1:17" x14ac:dyDescent="0.35">
      <c r="A19" t="s">
        <v>46</v>
      </c>
      <c r="B19">
        <v>19956.920000000002</v>
      </c>
      <c r="C19" s="35"/>
      <c r="D19" s="35"/>
      <c r="E19" s="35"/>
      <c r="F19" s="35"/>
      <c r="H19" s="32"/>
      <c r="I19" s="33"/>
      <c r="J19" s="33"/>
      <c r="K19" s="45" t="s">
        <v>13</v>
      </c>
      <c r="L19" s="44" cm="1">
        <f t="array" ref="L19">_xlfn.QUARTILE.INC(IF(L6:L16&gt;0,L6:L16),3)</f>
        <v>7.2378400338013034</v>
      </c>
      <c r="M19" s="44" cm="1">
        <f t="array" ref="M19">_xlfn.QUARTILE.INC(IF(M6:M16&gt;0,M6:M16),3)</f>
        <v>39.204570421872269</v>
      </c>
      <c r="N19" s="44" cm="1">
        <f t="array" ref="N19">_xlfn.QUARTILE.INC(IF(N6:N16&gt;0,N6:N16),3)</f>
        <v>13.009630308701723</v>
      </c>
      <c r="O19" s="44" cm="1">
        <f t="array" ref="O19">_xlfn.QUARTILE.INC(IF(O6:O16&gt;0,O6:O16),3)</f>
        <v>49.48191436128387</v>
      </c>
      <c r="P19" s="11"/>
    </row>
    <row r="20" spans="1:17" x14ac:dyDescent="0.35">
      <c r="A20" t="s">
        <v>48</v>
      </c>
      <c r="B20">
        <v>82466.100000000006</v>
      </c>
      <c r="C20"/>
      <c r="D20"/>
      <c r="E20"/>
      <c r="F20"/>
      <c r="H20" s="32"/>
      <c r="I20" s="33"/>
      <c r="J20" s="33"/>
      <c r="K20" s="20" t="s">
        <v>14</v>
      </c>
      <c r="L20" s="46">
        <f>AVERAGEIF(L6:L16,"&gt;0")</f>
        <v>8.6667917888291139</v>
      </c>
      <c r="M20" s="46">
        <f t="shared" ref="M20:O20" si="6">AVERAGEIF(M6:M16,"&gt;0")</f>
        <v>45.04295195237848</v>
      </c>
      <c r="N20" s="46">
        <f t="shared" si="6"/>
        <v>9.9490700122729674</v>
      </c>
      <c r="O20" s="46">
        <f t="shared" si="6"/>
        <v>127.60435566254176</v>
      </c>
      <c r="P20" s="11"/>
    </row>
    <row r="21" spans="1:17" x14ac:dyDescent="0.35">
      <c r="A21" t="s">
        <v>49</v>
      </c>
      <c r="B21">
        <v>13647.460000000001</v>
      </c>
      <c r="C21"/>
      <c r="D21"/>
      <c r="E21"/>
      <c r="F21"/>
      <c r="H21" s="32"/>
      <c r="I21" s="33"/>
      <c r="J21" s="33"/>
      <c r="K21" s="20" t="s">
        <v>15</v>
      </c>
      <c r="L21" s="46" cm="1">
        <f t="array" ref="L21">MEDIAN(IF(L6:L16&gt;0,L6:L16))</f>
        <v>5.9989417336173414</v>
      </c>
      <c r="M21" s="46" cm="1">
        <f t="array" ref="M21">MEDIAN(IF(M6:M16&gt;0,M6:M16))</f>
        <v>30.762211685771998</v>
      </c>
      <c r="N21" s="46" cm="1">
        <f t="array" ref="N21">MEDIAN(IF(N6:N16&gt;0,N6:N16))</f>
        <v>6.3507029680874796</v>
      </c>
      <c r="O21" s="46" cm="1">
        <f t="array" ref="O21">MEDIAN(IF(O6:O16&gt;0,O6:O16))</f>
        <v>41.210800168752634</v>
      </c>
      <c r="P21" s="11"/>
    </row>
    <row r="22" spans="1:17" x14ac:dyDescent="0.35">
      <c r="A22" t="s">
        <v>50</v>
      </c>
      <c r="B22">
        <v>2377.3599999999997</v>
      </c>
      <c r="C22"/>
      <c r="D22"/>
      <c r="E22"/>
      <c r="F22"/>
      <c r="H22" s="32"/>
      <c r="I22" s="33"/>
      <c r="J22" s="33"/>
      <c r="K22" s="45" t="s">
        <v>16</v>
      </c>
      <c r="L22" s="44" cm="1">
        <f t="array" ref="L22">_xlfn.QUARTILE.INC(IF(L6:L16&gt;0,L6:L16),1)</f>
        <v>4.1293802407935285</v>
      </c>
      <c r="M22" s="44" cm="1">
        <f t="array" ref="M22">_xlfn.QUARTILE.INC(IF(M6:M16&gt;0,M6:M16),1)</f>
        <v>16.082384674936414</v>
      </c>
      <c r="N22" s="44" cm="1">
        <f t="array" ref="N22">_xlfn.QUARTILE.INC(IF(N6:N16&gt;0,N6:N16),1)</f>
        <v>3.7372850035062952</v>
      </c>
      <c r="O22" s="44" cm="1">
        <f t="array" ref="O22">_xlfn.QUARTILE.INC(IF(O6:O16&gt;0,O6:O16),1)</f>
        <v>29.30741503604531</v>
      </c>
      <c r="P22" s="11"/>
    </row>
    <row r="23" spans="1:17" x14ac:dyDescent="0.35">
      <c r="A23" t="s">
        <v>53</v>
      </c>
      <c r="B23" s="1">
        <v>518.15</v>
      </c>
      <c r="C23"/>
      <c r="D23"/>
      <c r="E23"/>
      <c r="F23"/>
      <c r="H23" s="32"/>
      <c r="I23" s="33"/>
      <c r="J23" s="33"/>
      <c r="K23" s="28" t="s">
        <v>17</v>
      </c>
      <c r="L23" s="44" cm="1">
        <f t="array" ref="L23">MIN(IF(L6:L16&gt;0,L6:L16))</f>
        <v>0.95690462550418487</v>
      </c>
      <c r="M23" s="44" cm="1">
        <f t="array" ref="M23">MIN(IF(M6:M16&gt;0,M6:M16))</f>
        <v>6.381834032868472</v>
      </c>
      <c r="N23" s="44" cm="1">
        <f t="array" ref="N23">MIN(IF(N6:N16&gt;0,N6:N16))</f>
        <v>2.5779025850606505</v>
      </c>
      <c r="O23" s="44" cm="1">
        <f t="array" ref="O23">MIN(IF(O6:O16&gt;0,O6:O16))</f>
        <v>3.8489474775472794</v>
      </c>
      <c r="P23" s="11"/>
    </row>
    <row r="24" spans="1:17" x14ac:dyDescent="0.35">
      <c r="A24" t="s">
        <v>54</v>
      </c>
      <c r="B24" s="1">
        <v>916189.76500000001</v>
      </c>
      <c r="C24"/>
      <c r="D24"/>
      <c r="E24"/>
      <c r="F24"/>
      <c r="H24" s="32"/>
      <c r="I24" s="33"/>
      <c r="J24" s="33"/>
      <c r="K24" s="26"/>
      <c r="L24" s="47"/>
      <c r="M24" s="47"/>
      <c r="N24" s="47"/>
      <c r="O24" s="47"/>
      <c r="P24" s="11"/>
    </row>
    <row r="25" spans="1:17" x14ac:dyDescent="0.35">
      <c r="A25" t="s">
        <v>55</v>
      </c>
      <c r="B25" s="1">
        <v>31.259999999999998</v>
      </c>
      <c r="C25"/>
      <c r="D25"/>
      <c r="E25"/>
      <c r="F25"/>
      <c r="H25" s="32"/>
      <c r="I25" s="33"/>
      <c r="J25" s="33"/>
      <c r="K25" s="26"/>
      <c r="L25" s="47"/>
      <c r="M25" s="47"/>
      <c r="N25" s="47"/>
      <c r="O25" s="47"/>
      <c r="P25" s="11"/>
    </row>
    <row r="26" spans="1:17" x14ac:dyDescent="0.35">
      <c r="A26" s="2" t="s">
        <v>56</v>
      </c>
      <c r="B26">
        <v>7.5225</v>
      </c>
      <c r="H26" s="12"/>
    </row>
    <row r="27" spans="1:17" x14ac:dyDescent="0.35">
      <c r="A27" s="2" t="s">
        <v>59</v>
      </c>
      <c r="B27" s="48">
        <v>1771.7634640000001</v>
      </c>
      <c r="C27" s="27"/>
      <c r="D27" s="27"/>
      <c r="E27" s="27"/>
      <c r="F27" s="28"/>
      <c r="G27" s="13"/>
      <c r="I27" s="13"/>
      <c r="J27" s="13"/>
      <c r="K27" s="13"/>
      <c r="L27" s="14"/>
      <c r="M27" s="14"/>
      <c r="N27" s="23"/>
    </row>
    <row r="28" spans="1:17" s="15" customFormat="1" x14ac:dyDescent="0.35">
      <c r="E28" s="29"/>
      <c r="F28" s="20"/>
      <c r="G28" s="18"/>
      <c r="I28" s="17"/>
      <c r="J28" s="17"/>
      <c r="K28" s="17"/>
      <c r="L28" s="21"/>
      <c r="M28" s="21"/>
      <c r="N28" s="21"/>
      <c r="O28" s="22"/>
      <c r="P28" s="16"/>
      <c r="Q28" s="16"/>
    </row>
    <row r="29" spans="1:17" x14ac:dyDescent="0.35">
      <c r="E29" s="25"/>
      <c r="F29" s="26"/>
    </row>
    <row r="30" spans="1:17" x14ac:dyDescent="0.35">
      <c r="A30" s="16" t="s">
        <v>30</v>
      </c>
      <c r="B30" s="30"/>
      <c r="C30" s="30"/>
      <c r="D30" s="29"/>
      <c r="E30" s="25"/>
      <c r="F30" s="26"/>
    </row>
    <row r="31" spans="1:17" ht="32" x14ac:dyDescent="0.35">
      <c r="A31" s="50"/>
      <c r="B31" s="51" t="s">
        <v>27</v>
      </c>
      <c r="C31" s="51" t="s">
        <v>10</v>
      </c>
      <c r="D31" s="25"/>
      <c r="E31" s="25"/>
      <c r="F31" s="26"/>
    </row>
    <row r="32" spans="1:17" x14ac:dyDescent="0.35">
      <c r="A32" s="52" t="s">
        <v>28</v>
      </c>
      <c r="B32" s="53">
        <f>B20</f>
        <v>82466.100000000006</v>
      </c>
      <c r="C32" s="53">
        <f>B19</f>
        <v>19956.920000000002</v>
      </c>
      <c r="D32" s="25"/>
      <c r="E32" s="25"/>
      <c r="F32" s="26"/>
    </row>
    <row r="33" spans="1:6" x14ac:dyDescent="0.35">
      <c r="A33" s="52" t="s">
        <v>51</v>
      </c>
      <c r="B33" s="54">
        <f>L21</f>
        <v>5.9989417336173414</v>
      </c>
      <c r="C33" s="54">
        <f>M21</f>
        <v>30.762211685771998</v>
      </c>
      <c r="D33" s="25"/>
      <c r="E33" s="25"/>
      <c r="F33" s="26"/>
    </row>
    <row r="34" spans="1:6" x14ac:dyDescent="0.35">
      <c r="A34" s="55" t="s">
        <v>18</v>
      </c>
      <c r="B34" s="53">
        <f>B32*B33</f>
        <v>494709.32889866107</v>
      </c>
      <c r="C34" s="53">
        <f>C32*C33</f>
        <v>613918.99763601692</v>
      </c>
      <c r="D34" s="25"/>
      <c r="E34" s="25"/>
      <c r="F34" s="26"/>
    </row>
    <row r="35" spans="1:6" x14ac:dyDescent="0.35">
      <c r="A35" s="56" t="s">
        <v>52</v>
      </c>
      <c r="B35" s="55">
        <f>B22</f>
        <v>2377.3599999999997</v>
      </c>
      <c r="C35" s="55">
        <f>B22</f>
        <v>2377.3599999999997</v>
      </c>
      <c r="D35" s="25"/>
      <c r="E35" s="25"/>
      <c r="F35" s="26"/>
    </row>
    <row r="36" spans="1:6" x14ac:dyDescent="0.35">
      <c r="A36" s="55" t="s">
        <v>26</v>
      </c>
      <c r="B36" s="62">
        <f>B34-B35</f>
        <v>492331.96889866109</v>
      </c>
      <c r="C36" s="62">
        <f>C34-C35</f>
        <v>611541.63763601694</v>
      </c>
      <c r="D36" s="25"/>
      <c r="E36" s="25"/>
      <c r="F36" s="26"/>
    </row>
    <row r="37" spans="1:6" x14ac:dyDescent="0.35">
      <c r="A37" s="25"/>
      <c r="D37" s="25"/>
      <c r="E37" s="25"/>
      <c r="F37" s="26"/>
    </row>
    <row r="38" spans="1:6" x14ac:dyDescent="0.35">
      <c r="A38" s="26"/>
      <c r="B38" s="25"/>
      <c r="C38" s="25"/>
      <c r="D38" s="25"/>
      <c r="E38" s="25"/>
      <c r="F38" s="26"/>
    </row>
    <row r="39" spans="1:6" x14ac:dyDescent="0.35">
      <c r="A39" s="16" t="s">
        <v>29</v>
      </c>
      <c r="B39" s="31"/>
      <c r="C39" s="31"/>
      <c r="D39" s="25"/>
      <c r="E39" s="25"/>
      <c r="F39" s="26"/>
    </row>
    <row r="40" spans="1:6" x14ac:dyDescent="0.35">
      <c r="B40" s="24" t="s">
        <v>32</v>
      </c>
      <c r="C40" s="24" t="s">
        <v>33</v>
      </c>
      <c r="D40" s="25"/>
      <c r="E40" s="25"/>
      <c r="F40" s="26"/>
    </row>
    <row r="41" spans="1:6" x14ac:dyDescent="0.35">
      <c r="A41" s="52" t="s">
        <v>31</v>
      </c>
      <c r="B41" s="55">
        <f>B25</f>
        <v>31.259999999999998</v>
      </c>
      <c r="C41" s="55">
        <f>B26</f>
        <v>7.5225</v>
      </c>
      <c r="D41" s="25"/>
      <c r="E41" s="25"/>
      <c r="F41" s="26"/>
    </row>
    <row r="42" spans="1:6" x14ac:dyDescent="0.35">
      <c r="A42" s="50" t="s">
        <v>57</v>
      </c>
      <c r="B42" s="54">
        <f>N21</f>
        <v>6.3507029680874796</v>
      </c>
      <c r="C42" s="54">
        <f>O21</f>
        <v>41.210800168752634</v>
      </c>
      <c r="D42" s="25"/>
      <c r="E42" s="25"/>
      <c r="F42" s="26"/>
    </row>
    <row r="43" spans="1:6" x14ac:dyDescent="0.35">
      <c r="A43" s="57" t="s">
        <v>58</v>
      </c>
      <c r="B43" s="58">
        <f>B41*B42</f>
        <v>198.52297478241459</v>
      </c>
      <c r="C43" s="58">
        <f>C41*C42</f>
        <v>310.00824426944166</v>
      </c>
      <c r="D43" s="25"/>
      <c r="E43" s="25"/>
      <c r="F43" s="26"/>
    </row>
    <row r="44" spans="1:6" x14ac:dyDescent="0.35">
      <c r="A44" s="56" t="s">
        <v>61</v>
      </c>
      <c r="B44" s="58">
        <f>B43*B27</f>
        <v>351735.75348407554</v>
      </c>
      <c r="C44" s="58">
        <f>C43*B27</f>
        <v>549261.28073538409</v>
      </c>
      <c r="D44" s="25"/>
      <c r="E44" s="25"/>
      <c r="F44" s="26"/>
    </row>
    <row r="45" spans="1:6" x14ac:dyDescent="0.35">
      <c r="A45" s="56" t="s">
        <v>4</v>
      </c>
      <c r="B45" s="55">
        <f>B22</f>
        <v>2377.3599999999997</v>
      </c>
      <c r="C45" s="55">
        <f>B22</f>
        <v>2377.3599999999997</v>
      </c>
      <c r="D45" s="25"/>
    </row>
    <row r="46" spans="1:6" x14ac:dyDescent="0.35">
      <c r="A46" s="57" t="s">
        <v>18</v>
      </c>
      <c r="B46" s="63">
        <f>B44+B45</f>
        <v>354113.11348407553</v>
      </c>
      <c r="C46" s="63">
        <f>C44+C45</f>
        <v>551638.64073538408</v>
      </c>
      <c r="D46" s="25"/>
    </row>
  </sheetData>
  <mergeCells count="5">
    <mergeCell ref="L3:O3"/>
    <mergeCell ref="B3:D3"/>
    <mergeCell ref="L4:M4"/>
    <mergeCell ref="N4:O4"/>
    <mergeCell ref="F3:J3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srikanth potharla</cp:lastModifiedBy>
  <dcterms:created xsi:type="dcterms:W3CDTF">2025-08-11T15:07:56Z</dcterms:created>
  <dcterms:modified xsi:type="dcterms:W3CDTF">2025-12-02T09:08:47Z</dcterms:modified>
</cp:coreProperties>
</file>