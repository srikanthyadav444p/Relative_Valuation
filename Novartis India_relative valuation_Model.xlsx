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554062ccdc56ffa/Documents/"/>
    </mc:Choice>
  </mc:AlternateContent>
  <xr:revisionPtr revIDLastSave="0" documentId="8_{F65632E8-8063-4556-B118-89C862C4870A}" xr6:coauthVersionLast="47" xr6:coauthVersionMax="47" xr10:uidLastSave="{00000000-0000-0000-0000-000000000000}"/>
  <bookViews>
    <workbookView xWindow="-108" yWindow="-108" windowWidth="23256" windowHeight="12456" xr2:uid="{DA702707-422F-40AA-907B-B94C181302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5" i="1" l="1"/>
  <c r="B45" i="1"/>
  <c r="C42" i="1"/>
  <c r="B42" i="1"/>
  <c r="C41" i="1"/>
  <c r="C43" i="1" s="1"/>
  <c r="C44" i="1" s="1"/>
  <c r="C46" i="1" s="1"/>
  <c r="B41" i="1"/>
  <c r="B43" i="1" s="1"/>
  <c r="B44" i="1" s="1"/>
  <c r="B46" i="1" s="1"/>
  <c r="B32" i="1"/>
  <c r="C32" i="1"/>
  <c r="B33" i="1"/>
  <c r="C33" i="1"/>
  <c r="B34" i="1"/>
  <c r="C34" i="1"/>
  <c r="B35" i="1"/>
  <c r="C35" i="1"/>
  <c r="B36" i="1"/>
  <c r="C36" i="1"/>
  <c r="O23" i="1" a="1"/>
  <c r="O23" i="1" s="1"/>
  <c r="O16" i="1"/>
  <c r="N16" i="1"/>
  <c r="M16" i="1"/>
  <c r="L16" i="1"/>
  <c r="O15" i="1"/>
  <c r="N15" i="1"/>
  <c r="M15" i="1"/>
  <c r="L15" i="1"/>
  <c r="O14" i="1"/>
  <c r="N14" i="1"/>
  <c r="M14" i="1"/>
  <c r="L14" i="1"/>
  <c r="O13" i="1"/>
  <c r="N13" i="1"/>
  <c r="M13" i="1"/>
  <c r="L13" i="1"/>
  <c r="O12" i="1"/>
  <c r="N12" i="1"/>
  <c r="M12" i="1"/>
  <c r="L12" i="1"/>
  <c r="O11" i="1"/>
  <c r="N11" i="1"/>
  <c r="M11" i="1"/>
  <c r="L11" i="1"/>
  <c r="O10" i="1"/>
  <c r="N10" i="1"/>
  <c r="M10" i="1"/>
  <c r="L10" i="1"/>
  <c r="O9" i="1"/>
  <c r="N9" i="1"/>
  <c r="M9" i="1"/>
  <c r="L9" i="1"/>
  <c r="O8" i="1"/>
  <c r="N8" i="1"/>
  <c r="N22" i="1" s="1" a="1"/>
  <c r="N22" i="1" s="1"/>
  <c r="M8" i="1"/>
  <c r="M18" i="1" s="1" a="1"/>
  <c r="M18" i="1" s="1"/>
  <c r="L8" i="1"/>
  <c r="L18" i="1" s="1" a="1"/>
  <c r="L18" i="1" s="1"/>
  <c r="O7" i="1"/>
  <c r="N7" i="1"/>
  <c r="N20" i="1" s="1"/>
  <c r="M7" i="1"/>
  <c r="M20" i="1" s="1"/>
  <c r="L7" i="1"/>
  <c r="O6" i="1"/>
  <c r="O20" i="1" s="1"/>
  <c r="N6" i="1"/>
  <c r="N23" i="1" s="1" a="1"/>
  <c r="N23" i="1" s="1"/>
  <c r="M6" i="1"/>
  <c r="M23" i="1" s="1" a="1"/>
  <c r="M23" i="1" s="1"/>
  <c r="L6" i="1"/>
  <c r="L20" i="1" s="1"/>
  <c r="M21" i="1" l="1" a="1"/>
  <c r="M21" i="1" s="1"/>
  <c r="O18" i="1" a="1"/>
  <c r="O18" i="1" s="1"/>
  <c r="O21" i="1" a="1"/>
  <c r="O21" i="1" s="1"/>
  <c r="L19" i="1" a="1"/>
  <c r="L19" i="1" s="1"/>
  <c r="L22" i="1" a="1"/>
  <c r="L22" i="1" s="1"/>
  <c r="M19" i="1" a="1"/>
  <c r="M19" i="1" s="1"/>
  <c r="N19" i="1" a="1"/>
  <c r="N19" i="1" s="1"/>
  <c r="M22" i="1" a="1"/>
  <c r="M22" i="1" s="1"/>
  <c r="L21" i="1" a="1"/>
  <c r="L21" i="1" s="1"/>
  <c r="N18" i="1" a="1"/>
  <c r="N18" i="1" s="1"/>
  <c r="O19" i="1" a="1"/>
  <c r="O19" i="1" s="1"/>
  <c r="O22" i="1" a="1"/>
  <c r="O22" i="1" s="1"/>
  <c r="L23" i="1" a="1"/>
  <c r="L23" i="1" s="1"/>
  <c r="N21" i="1" a="1"/>
  <c r="N2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<sst xmlns="http://schemas.openxmlformats.org/spreadsheetml/2006/main" count="64" uniqueCount="61">
  <si>
    <t xml:space="preserve">COMPARABLE COMPANY VALUATION </t>
  </si>
  <si>
    <t>Market Variables</t>
  </si>
  <si>
    <t>Financial  Variabeles</t>
  </si>
  <si>
    <t xml:space="preserve">Valuation Multiples </t>
  </si>
  <si>
    <t>Enterprise Value Multiple</t>
  </si>
  <si>
    <t>Market Price Multiple</t>
  </si>
  <si>
    <t xml:space="preserve">Company </t>
  </si>
  <si>
    <t>Share Price</t>
  </si>
  <si>
    <t>EPS</t>
  </si>
  <si>
    <t xml:space="preserve">Book Value </t>
  </si>
  <si>
    <t>EV/ Revenue</t>
  </si>
  <si>
    <t>EV/EBITDA</t>
  </si>
  <si>
    <t>P/BV</t>
  </si>
  <si>
    <t>P/E</t>
  </si>
  <si>
    <t>High</t>
  </si>
  <si>
    <t>Upper Quartile</t>
  </si>
  <si>
    <t>Average</t>
  </si>
  <si>
    <t>Median</t>
  </si>
  <si>
    <t>Long term borrowings excl current portion</t>
  </si>
  <si>
    <t>Lower Quartile</t>
  </si>
  <si>
    <t>Adjusted Closing Price</t>
  </si>
  <si>
    <t xml:space="preserve">Low </t>
  </si>
  <si>
    <t>BV per Share</t>
  </si>
  <si>
    <t xml:space="preserve">Enterprise Value and Equity Value of Target Company Based on Enterprise Value Multiples  </t>
  </si>
  <si>
    <t>EV/Revenue - Multiple</t>
  </si>
  <si>
    <t>Target Company Revenue, EBITDA</t>
  </si>
  <si>
    <t xml:space="preserve">Peer Median </t>
  </si>
  <si>
    <t xml:space="preserve">Implied Enterprise Value </t>
  </si>
  <si>
    <t>Target Company Debt</t>
  </si>
  <si>
    <t xml:space="preserve">Implied Equity Value </t>
  </si>
  <si>
    <t xml:space="preserve">Enterprise Value and Equity Value  Based on Market Price Multiples  </t>
  </si>
  <si>
    <t xml:space="preserve">P/BV Multple </t>
  </si>
  <si>
    <t>P/E Multiple</t>
  </si>
  <si>
    <t xml:space="preserve">Target Company Book Value, EPS </t>
  </si>
  <si>
    <t>Peer Median P/BV and P/E Multiple</t>
  </si>
  <si>
    <t>Implied Equity Value  per share</t>
  </si>
  <si>
    <t>Equity Value (total in Rs. Millons</t>
  </si>
  <si>
    <t>Net Debt</t>
  </si>
  <si>
    <t>Novartis India</t>
  </si>
  <si>
    <t>Sun Pharmaceutical Industries</t>
  </si>
  <si>
    <t>Divi’s Laboratories</t>
  </si>
  <si>
    <t>Cipla</t>
  </si>
  <si>
    <t>Torrent Pharmaceuticals</t>
  </si>
  <si>
    <t>Dr. Reddy’s Laboratories</t>
  </si>
  <si>
    <t>Indoco Remedies</t>
  </si>
  <si>
    <t>Senores Pharma</t>
  </si>
  <si>
    <t>SMS Pharma</t>
  </si>
  <si>
    <t>Amrutanjan Health</t>
  </si>
  <si>
    <t>Biocon</t>
  </si>
  <si>
    <t>Aurobindo Pharma</t>
  </si>
  <si>
    <t>Equity Value (cr)</t>
  </si>
  <si>
    <t>Enterprise Value (Cr)</t>
  </si>
  <si>
    <t>Revenue (Cr)</t>
  </si>
  <si>
    <t>Net Income (Cr)</t>
  </si>
  <si>
    <t>Debt (Cr)</t>
  </si>
  <si>
    <t>EBITDA (Cr)</t>
  </si>
  <si>
    <t>PBDITA (cr)</t>
  </si>
  <si>
    <t>Total income (cr)</t>
  </si>
  <si>
    <t>PAT net of P&amp;E (cr)</t>
  </si>
  <si>
    <t>Market Capitalisation (cr)</t>
  </si>
  <si>
    <t>No. of Shares Outstanding (cr)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</si>
</sst>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7" formatCode="#,##0.0"/>
    <numFmt numFmtId="168" formatCode="_(* #,##0.0_);_(* \(#,##0.0\);_(* &quot;-&quot;??_);_(@_)"/>
    <numFmt numFmtId="169" formatCode="0.0"/>
    <numFmt numFmtId="170" formatCode="#,##0.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0"/>
      <name val="Times New Roman"/>
      <family val="1"/>
    </font>
    <font>
      <sz val="10"/>
      <color rgb="FF0070C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i/>
      <sz val="10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theme="4" tint="-0.249977111117893"/>
      </bottom>
      <diagonal/>
    </border>
    <border>
      <left style="hair">
        <color rgb="FF00B0F0"/>
      </left>
      <right style="hair">
        <color rgb="FF00B0F0"/>
      </right>
      <top style="hair">
        <color rgb="FF00B0F0"/>
      </top>
      <bottom style="hair">
        <color rgb="FF00B0F0"/>
      </bottom>
      <diagonal/>
    </border>
    <border>
      <left style="hair">
        <color rgb="FF00B0F0"/>
      </left>
      <right/>
      <top style="hair">
        <color rgb="FF00B0F0"/>
      </top>
      <bottom style="hair">
        <color rgb="FF00B0F0"/>
      </bottom>
      <diagonal/>
    </border>
    <border>
      <left/>
      <right/>
      <top style="hair">
        <color rgb="FF00B0F0"/>
      </top>
      <bottom style="hair">
        <color rgb="FF00B0F0"/>
      </bottom>
      <diagonal/>
    </border>
    <border>
      <left/>
      <right style="hair">
        <color rgb="FF00B0F0"/>
      </right>
      <top style="hair">
        <color rgb="FF00B0F0"/>
      </top>
      <bottom style="hair">
        <color rgb="FF00B0F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rgb="FF00B0F0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0">
    <xf numFmtId="0" fontId="0" fillId="0" borderId="0" xfId="0"/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 wrapText="1"/>
    </xf>
    <xf numFmtId="0" fontId="5" fillId="0" borderId="0" xfId="0" applyFont="1"/>
    <xf numFmtId="3" fontId="3" fillId="0" borderId="2" xfId="0" applyNumberFormat="1" applyFont="1" applyBorder="1" applyAlignment="1">
      <alignment vertical="center" wrapText="1"/>
    </xf>
    <xf numFmtId="43" fontId="3" fillId="0" borderId="0" xfId="1" applyFont="1" applyFill="1" applyAlignment="1">
      <alignment vertical="center"/>
    </xf>
    <xf numFmtId="168" fontId="3" fillId="0" borderId="0" xfId="1" applyNumberFormat="1" applyFont="1" applyFill="1" applyBorder="1" applyAlignment="1">
      <alignment vertical="center" wrapText="1"/>
    </xf>
    <xf numFmtId="167" fontId="3" fillId="0" borderId="0" xfId="0" applyNumberFormat="1" applyFont="1" applyAlignment="1">
      <alignment vertical="center" wrapText="1"/>
    </xf>
    <xf numFmtId="169" fontId="3" fillId="0" borderId="0" xfId="0" applyNumberFormat="1" applyFont="1" applyAlignment="1">
      <alignment horizontal="right" vertical="center" wrapText="1"/>
    </xf>
    <xf numFmtId="0" fontId="6" fillId="0" borderId="3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6" fillId="0" borderId="0" xfId="0" applyFont="1" applyAlignment="1">
      <alignment vertical="center"/>
    </xf>
    <xf numFmtId="169" fontId="6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167" fontId="3" fillId="0" borderId="0" xfId="0" applyNumberFormat="1" applyFont="1" applyAlignment="1">
      <alignment vertical="center"/>
    </xf>
    <xf numFmtId="0" fontId="6" fillId="0" borderId="4" xfId="0" applyFont="1" applyBorder="1" applyAlignment="1">
      <alignment vertical="center" wrapText="1"/>
    </xf>
    <xf numFmtId="0" fontId="3" fillId="0" borderId="4" xfId="0" applyFont="1" applyBorder="1" applyAlignment="1">
      <alignment vertical="center"/>
    </xf>
    <xf numFmtId="167" fontId="3" fillId="0" borderId="4" xfId="0" applyNumberFormat="1" applyFont="1" applyBorder="1" applyAlignment="1">
      <alignment vertical="center"/>
    </xf>
    <xf numFmtId="167" fontId="3" fillId="0" borderId="5" xfId="0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0" fontId="7" fillId="0" borderId="4" xfId="0" applyFont="1" applyBorder="1" applyAlignment="1">
      <alignment vertical="center" wrapText="1"/>
    </xf>
    <xf numFmtId="0" fontId="4" fillId="0" borderId="4" xfId="0" applyFont="1" applyBorder="1" applyAlignment="1">
      <alignment vertical="center"/>
    </xf>
    <xf numFmtId="0" fontId="4" fillId="0" borderId="4" xfId="0" applyFont="1" applyBorder="1" applyAlignment="1">
      <alignment vertical="center" wrapText="1"/>
    </xf>
    <xf numFmtId="167" fontId="7" fillId="0" borderId="4" xfId="0" applyNumberFormat="1" applyFont="1" applyBorder="1" applyAlignment="1">
      <alignment vertical="center"/>
    </xf>
    <xf numFmtId="167" fontId="7" fillId="0" borderId="5" xfId="0" applyNumberFormat="1" applyFont="1" applyBorder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169" fontId="6" fillId="0" borderId="0" xfId="0" applyNumberFormat="1" applyFont="1" applyAlignment="1">
      <alignment vertical="center" wrapText="1"/>
    </xf>
    <xf numFmtId="0" fontId="4" fillId="2" borderId="0" xfId="0" applyFont="1" applyFill="1" applyAlignment="1">
      <alignment vertical="center"/>
    </xf>
    <xf numFmtId="0" fontId="3" fillId="0" borderId="0" xfId="0" applyFont="1"/>
    <xf numFmtId="0" fontId="8" fillId="0" borderId="0" xfId="0" applyFont="1" applyAlignment="1">
      <alignment vertical="center"/>
    </xf>
    <xf numFmtId="17" fontId="3" fillId="0" borderId="0" xfId="0" applyNumberFormat="1" applyFont="1"/>
    <xf numFmtId="4" fontId="3" fillId="0" borderId="0" xfId="0" applyNumberFormat="1" applyFont="1"/>
    <xf numFmtId="0" fontId="3" fillId="0" borderId="6" xfId="0" applyFont="1" applyBorder="1"/>
    <xf numFmtId="168" fontId="3" fillId="0" borderId="3" xfId="1" applyNumberFormat="1" applyFont="1" applyFill="1" applyBorder="1" applyAlignment="1">
      <alignment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wrapText="1"/>
    </xf>
    <xf numFmtId="0" fontId="7" fillId="5" borderId="6" xfId="0" applyFont="1" applyFill="1" applyBorder="1" applyAlignment="1">
      <alignment vertical="center"/>
    </xf>
    <xf numFmtId="170" fontId="7" fillId="5" borderId="6" xfId="0" applyNumberFormat="1" applyFont="1" applyFill="1" applyBorder="1" applyAlignment="1">
      <alignment vertical="center"/>
    </xf>
    <xf numFmtId="169" fontId="7" fillId="0" borderId="7" xfId="0" applyNumberFormat="1" applyFont="1" applyBorder="1" applyAlignment="1">
      <alignment vertical="center" wrapText="1"/>
    </xf>
    <xf numFmtId="0" fontId="7" fillId="3" borderId="6" xfId="0" applyFont="1" applyFill="1" applyBorder="1" applyAlignment="1">
      <alignment vertical="center"/>
    </xf>
    <xf numFmtId="0" fontId="7" fillId="3" borderId="6" xfId="0" applyFont="1" applyFill="1" applyBorder="1" applyAlignment="1">
      <alignment vertical="center" wrapText="1"/>
    </xf>
    <xf numFmtId="0" fontId="6" fillId="3" borderId="6" xfId="0" applyFont="1" applyFill="1" applyBorder="1" applyAlignment="1">
      <alignment vertical="center"/>
    </xf>
    <xf numFmtId="3" fontId="6" fillId="3" borderId="6" xfId="0" applyNumberFormat="1" applyFont="1" applyFill="1" applyBorder="1" applyAlignment="1">
      <alignment vertical="center" wrapText="1"/>
    </xf>
    <xf numFmtId="169" fontId="6" fillId="3" borderId="6" xfId="0" applyNumberFormat="1" applyFont="1" applyFill="1" applyBorder="1" applyAlignment="1">
      <alignment vertical="center" wrapText="1"/>
    </xf>
    <xf numFmtId="0" fontId="6" fillId="3" borderId="6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/>
    </xf>
    <xf numFmtId="4" fontId="6" fillId="3" borderId="6" xfId="0" applyNumberFormat="1" applyFont="1" applyFill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3" fillId="0" borderId="0" xfId="0" applyFont="1" applyAlignment="1">
      <alignment horizontal="center" wrapText="1"/>
    </xf>
    <xf numFmtId="3" fontId="3" fillId="0" borderId="0" xfId="0" applyNumberFormat="1" applyFont="1"/>
    <xf numFmtId="169" fontId="3" fillId="6" borderId="6" xfId="0" applyNumberFormat="1" applyFont="1" applyFill="1" applyBorder="1" applyAlignment="1">
      <alignment horizontal="right" vertical="center" wrapText="1"/>
    </xf>
    <xf numFmtId="169" fontId="6" fillId="6" borderId="6" xfId="0" applyNumberFormat="1" applyFont="1" applyFill="1" applyBorder="1" applyAlignment="1">
      <alignment vertical="center"/>
    </xf>
    <xf numFmtId="169" fontId="7" fillId="6" borderId="6" xfId="0" applyNumberFormat="1" applyFont="1" applyFill="1" applyBorder="1" applyAlignment="1">
      <alignment vertical="center"/>
    </xf>
    <xf numFmtId="0" fontId="2" fillId="5" borderId="6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AC770-4F9E-4346-BCAA-176E1C273EF0}">
  <dimension ref="A1:R46"/>
  <sheetViews>
    <sheetView tabSelected="1" zoomScale="71" workbookViewId="0">
      <selection activeCell="C9" sqref="C9"/>
    </sheetView>
  </sheetViews>
  <sheetFormatPr defaultRowHeight="13.2" x14ac:dyDescent="0.25"/>
  <cols>
    <col min="1" max="1" width="78.88671875" style="33" bestFit="1" customWidth="1"/>
    <col min="2" max="2" width="18.21875" style="33" bestFit="1" customWidth="1"/>
    <col min="3" max="3" width="12.88671875" style="33" bestFit="1" customWidth="1"/>
    <col min="4" max="4" width="15.109375" style="33" bestFit="1" customWidth="1"/>
    <col min="5" max="5" width="9" style="33" customWidth="1"/>
    <col min="6" max="6" width="9.6640625" style="33" bestFit="1" customWidth="1"/>
    <col min="7" max="7" width="8.5546875" style="33" bestFit="1" customWidth="1"/>
    <col min="8" max="8" width="10.44140625" style="33" bestFit="1" customWidth="1"/>
    <col min="9" max="9" width="8.88671875" style="33" bestFit="1" customWidth="1"/>
    <col min="10" max="10" width="10.5546875" style="33" bestFit="1" customWidth="1"/>
    <col min="11" max="11" width="14.109375" style="33" bestFit="1" customWidth="1"/>
    <col min="12" max="12" width="11.33203125" style="33" bestFit="1" customWidth="1"/>
    <col min="13" max="13" width="10.77734375" style="33" bestFit="1" customWidth="1"/>
    <col min="14" max="14" width="8.21875" style="33" customWidth="1"/>
    <col min="15" max="15" width="10" style="33" customWidth="1"/>
    <col min="16" max="16" width="8.88671875" style="33"/>
    <col min="17" max="17" width="8.88671875" style="33" customWidth="1"/>
    <col min="18" max="18" width="9.44140625" style="33" customWidth="1"/>
    <col min="19" max="16384" width="8.88671875" style="33"/>
  </cols>
  <sheetData>
    <row r="1" spans="1:16" ht="14.4" customHeight="1" x14ac:dyDescent="0.25">
      <c r="A1" s="32" t="s">
        <v>0</v>
      </c>
      <c r="B1" s="1"/>
    </row>
    <row r="2" spans="1:16" x14ac:dyDescent="0.25">
      <c r="A2" s="34"/>
    </row>
    <row r="3" spans="1:16" ht="13.8" thickBot="1" x14ac:dyDescent="0.3">
      <c r="A3" s="2"/>
      <c r="B3" s="3" t="s">
        <v>1</v>
      </c>
      <c r="C3" s="3"/>
      <c r="D3" s="3"/>
      <c r="F3" s="4" t="s">
        <v>2</v>
      </c>
      <c r="G3" s="4"/>
      <c r="H3" s="4"/>
      <c r="I3" s="4"/>
      <c r="J3" s="4"/>
      <c r="L3" s="39" t="s">
        <v>3</v>
      </c>
      <c r="M3" s="39"/>
      <c r="N3" s="39"/>
      <c r="O3" s="39"/>
    </row>
    <row r="4" spans="1:16" x14ac:dyDescent="0.25">
      <c r="L4" s="40" t="s">
        <v>4</v>
      </c>
      <c r="M4" s="40"/>
      <c r="N4" s="40" t="s">
        <v>5</v>
      </c>
      <c r="O4" s="40"/>
    </row>
    <row r="5" spans="1:16" ht="26.4" x14ac:dyDescent="0.25">
      <c r="A5" s="5" t="s">
        <v>6</v>
      </c>
      <c r="B5" s="6" t="s">
        <v>7</v>
      </c>
      <c r="C5" s="6" t="s">
        <v>50</v>
      </c>
      <c r="D5" s="6" t="s">
        <v>51</v>
      </c>
      <c r="E5" s="54" t="s">
        <v>8</v>
      </c>
      <c r="F5" s="6" t="s">
        <v>52</v>
      </c>
      <c r="G5" s="6" t="s">
        <v>55</v>
      </c>
      <c r="H5" s="6" t="s">
        <v>53</v>
      </c>
      <c r="I5" s="6" t="s">
        <v>54</v>
      </c>
      <c r="J5" s="6" t="s">
        <v>9</v>
      </c>
      <c r="K5" s="6"/>
      <c r="L5" s="41" t="s">
        <v>10</v>
      </c>
      <c r="M5" s="41" t="s">
        <v>11</v>
      </c>
      <c r="N5" s="41" t="s">
        <v>12</v>
      </c>
      <c r="O5" s="41" t="s">
        <v>13</v>
      </c>
      <c r="P5" s="7"/>
    </row>
    <row r="6" spans="1:16" x14ac:dyDescent="0.25">
      <c r="A6" s="33" t="s">
        <v>39</v>
      </c>
      <c r="B6" s="36">
        <v>1656</v>
      </c>
      <c r="C6" s="55">
        <v>397330</v>
      </c>
      <c r="D6" s="36">
        <v>426430.49</v>
      </c>
      <c r="E6" s="33">
        <v>43.23</v>
      </c>
      <c r="F6" s="36">
        <v>52578.44</v>
      </c>
      <c r="G6" s="55">
        <v>153390</v>
      </c>
      <c r="H6" s="36">
        <v>10980.1</v>
      </c>
      <c r="I6" s="55">
        <v>23620</v>
      </c>
      <c r="J6" s="33">
        <v>288.06</v>
      </c>
      <c r="K6" s="38"/>
      <c r="L6" s="56">
        <f t="shared" ref="L6:L16" si="0">+D6/F6</f>
        <v>8.1103678618079957</v>
      </c>
      <c r="M6" s="56">
        <f t="shared" ref="M6:M15" si="1">+D6/G6</f>
        <v>2.7800410065845229</v>
      </c>
      <c r="N6" s="56">
        <f>B6/J6</f>
        <v>5.7488023328473234</v>
      </c>
      <c r="O6" s="56">
        <f>B6/E6</f>
        <v>38.306731436502432</v>
      </c>
      <c r="P6" s="9"/>
    </row>
    <row r="7" spans="1:16" x14ac:dyDescent="0.25">
      <c r="A7" s="33" t="s">
        <v>40</v>
      </c>
      <c r="B7" s="36">
        <v>6009</v>
      </c>
      <c r="C7" s="55">
        <v>159520</v>
      </c>
      <c r="D7" s="55">
        <v>156000</v>
      </c>
      <c r="E7" s="33">
        <v>82.53</v>
      </c>
      <c r="F7" s="55">
        <v>93600</v>
      </c>
      <c r="G7" s="55">
        <v>30650</v>
      </c>
      <c r="H7" s="55">
        <v>21910</v>
      </c>
      <c r="I7" s="55">
        <v>40</v>
      </c>
      <c r="J7" s="33">
        <v>563.87</v>
      </c>
      <c r="K7" s="38"/>
      <c r="L7" s="56">
        <f t="shared" si="0"/>
        <v>1.6666666666666667</v>
      </c>
      <c r="M7" s="56">
        <f t="shared" si="1"/>
        <v>5.0897226753670477</v>
      </c>
      <c r="N7" s="56">
        <f t="shared" ref="N7:N15" si="2">B7/J7</f>
        <v>10.656711653395286</v>
      </c>
      <c r="O7" s="56">
        <f t="shared" ref="O7:O16" si="3">B7/E7</f>
        <v>72.80988731370411</v>
      </c>
    </row>
    <row r="8" spans="1:16" x14ac:dyDescent="0.25">
      <c r="A8" s="33" t="s">
        <v>41</v>
      </c>
      <c r="B8" s="36">
        <v>1575.8</v>
      </c>
      <c r="C8" s="55">
        <v>127300</v>
      </c>
      <c r="D8" s="55">
        <v>116153</v>
      </c>
      <c r="E8" s="33">
        <v>66.73</v>
      </c>
      <c r="F8" s="55">
        <v>27548</v>
      </c>
      <c r="G8" s="55">
        <v>8136.17</v>
      </c>
      <c r="H8" s="55">
        <v>5273</v>
      </c>
      <c r="I8" s="55">
        <v>4390</v>
      </c>
      <c r="J8" s="33">
        <v>386.24</v>
      </c>
      <c r="K8" s="38"/>
      <c r="L8" s="56">
        <f t="shared" si="0"/>
        <v>4.2163859445331786</v>
      </c>
      <c r="M8" s="56">
        <f t="shared" si="1"/>
        <v>14.276127465379902</v>
      </c>
      <c r="N8" s="56">
        <f t="shared" si="2"/>
        <v>4.0798467274233632</v>
      </c>
      <c r="O8" s="56">
        <f t="shared" si="3"/>
        <v>23.614566162145959</v>
      </c>
    </row>
    <row r="9" spans="1:16" x14ac:dyDescent="0.25">
      <c r="A9" s="33" t="s">
        <v>42</v>
      </c>
      <c r="B9" s="36">
        <v>3629.2</v>
      </c>
      <c r="C9" s="55">
        <v>122900</v>
      </c>
      <c r="D9" s="55">
        <v>111915</v>
      </c>
      <c r="E9" s="33">
        <v>55.79</v>
      </c>
      <c r="F9" s="55">
        <v>11835</v>
      </c>
      <c r="G9" s="36">
        <v>3178.6</v>
      </c>
      <c r="H9" s="55">
        <v>2002</v>
      </c>
      <c r="I9" s="36">
        <v>3202.32</v>
      </c>
      <c r="J9" s="33">
        <v>224.3</v>
      </c>
      <c r="K9" s="38"/>
      <c r="L9" s="56">
        <f t="shared" si="0"/>
        <v>9.4562737642585546</v>
      </c>
      <c r="M9" s="56">
        <f t="shared" si="1"/>
        <v>35.208896998678668</v>
      </c>
      <c r="N9" s="56">
        <f t="shared" si="2"/>
        <v>16.180115916183681</v>
      </c>
      <c r="O9" s="56">
        <f t="shared" si="3"/>
        <v>65.051084423731851</v>
      </c>
    </row>
    <row r="10" spans="1:16" x14ac:dyDescent="0.25">
      <c r="A10" s="33" t="s">
        <v>43</v>
      </c>
      <c r="B10" s="36">
        <v>1321.7</v>
      </c>
      <c r="C10" s="55">
        <v>110394</v>
      </c>
      <c r="D10" s="55">
        <v>110000</v>
      </c>
      <c r="E10" s="33">
        <v>68.11</v>
      </c>
      <c r="F10" s="55">
        <v>33520</v>
      </c>
      <c r="G10" s="55">
        <v>89400</v>
      </c>
      <c r="H10" s="55">
        <v>5680</v>
      </c>
      <c r="I10" s="55">
        <v>48640</v>
      </c>
      <c r="J10" s="33">
        <v>420.56</v>
      </c>
      <c r="K10" s="38"/>
      <c r="L10" s="56">
        <f t="shared" si="0"/>
        <v>3.2816229116945106</v>
      </c>
      <c r="M10" s="56">
        <f t="shared" si="1"/>
        <v>1.2304250559284116</v>
      </c>
      <c r="N10" s="56">
        <f t="shared" si="2"/>
        <v>3.1427144759368462</v>
      </c>
      <c r="O10" s="56">
        <f t="shared" si="3"/>
        <v>19.405373660255471</v>
      </c>
    </row>
    <row r="11" spans="1:16" x14ac:dyDescent="0.25">
      <c r="A11" s="33" t="s">
        <v>44</v>
      </c>
      <c r="B11" s="33">
        <v>301.95</v>
      </c>
      <c r="C11" s="55">
        <v>2785</v>
      </c>
      <c r="D11" s="55">
        <v>3758</v>
      </c>
      <c r="E11" s="33">
        <v>-14.57</v>
      </c>
      <c r="F11" s="36">
        <v>1536.67</v>
      </c>
      <c r="G11" s="33">
        <v>80.55</v>
      </c>
      <c r="H11" s="8">
        <v>-112</v>
      </c>
      <c r="I11" s="33">
        <v>994</v>
      </c>
      <c r="J11" s="33">
        <v>113.36</v>
      </c>
      <c r="K11" s="38"/>
      <c r="L11" s="56">
        <f t="shared" si="0"/>
        <v>2.445547840460216</v>
      </c>
      <c r="M11" s="56">
        <f t="shared" si="1"/>
        <v>46.654252017380507</v>
      </c>
      <c r="N11" s="56">
        <f t="shared" si="2"/>
        <v>2.6636379675370501</v>
      </c>
      <c r="O11" s="56">
        <f t="shared" si="3"/>
        <v>-20.724090597117364</v>
      </c>
    </row>
    <row r="12" spans="1:16" x14ac:dyDescent="0.25">
      <c r="A12" s="33" t="s">
        <v>45</v>
      </c>
      <c r="B12" s="33">
        <v>712.3</v>
      </c>
      <c r="C12" s="55">
        <v>3280</v>
      </c>
      <c r="D12" s="36">
        <v>2371.7600000000002</v>
      </c>
      <c r="E12" s="33">
        <v>12.9</v>
      </c>
      <c r="F12" s="33">
        <v>410.4</v>
      </c>
      <c r="G12" s="33">
        <v>101.8</v>
      </c>
      <c r="H12" s="33">
        <v>58.6</v>
      </c>
      <c r="I12" s="33">
        <v>315</v>
      </c>
      <c r="J12" s="33">
        <v>174.25</v>
      </c>
      <c r="K12" s="38"/>
      <c r="L12" s="56">
        <f t="shared" si="0"/>
        <v>5.7791423001949322</v>
      </c>
      <c r="M12" s="56">
        <f t="shared" si="1"/>
        <v>23.298231827111987</v>
      </c>
      <c r="N12" s="56">
        <f t="shared" si="2"/>
        <v>4.0878048780487806</v>
      </c>
      <c r="O12" s="56">
        <f t="shared" si="3"/>
        <v>55.217054263565885</v>
      </c>
    </row>
    <row r="13" spans="1:16" x14ac:dyDescent="0.25">
      <c r="A13" s="33" t="s">
        <v>46</v>
      </c>
      <c r="B13" s="33">
        <v>292.14</v>
      </c>
      <c r="C13" s="36">
        <v>2735.95</v>
      </c>
      <c r="D13" s="36">
        <v>2154.8000000000002</v>
      </c>
      <c r="E13" s="33">
        <v>8.16</v>
      </c>
      <c r="F13" s="36">
        <v>7827.48</v>
      </c>
      <c r="G13" s="33">
        <v>145.22</v>
      </c>
      <c r="H13" s="33">
        <v>691.36</v>
      </c>
      <c r="I13" s="36">
        <v>3107.56</v>
      </c>
      <c r="J13" s="33">
        <v>68.3</v>
      </c>
      <c r="K13" s="38"/>
      <c r="L13" s="56">
        <f t="shared" si="0"/>
        <v>0.27528655454884587</v>
      </c>
      <c r="M13" s="56">
        <f t="shared" si="1"/>
        <v>14.838176559702521</v>
      </c>
      <c r="N13" s="56">
        <f t="shared" si="2"/>
        <v>4.2773060029282579</v>
      </c>
      <c r="O13" s="56">
        <f t="shared" si="3"/>
        <v>35.80147058823529</v>
      </c>
    </row>
    <row r="14" spans="1:16" x14ac:dyDescent="0.25">
      <c r="A14" s="33" t="s">
        <v>47</v>
      </c>
      <c r="B14" s="33">
        <v>765</v>
      </c>
      <c r="C14" s="55">
        <v>2212</v>
      </c>
      <c r="D14" s="36">
        <v>1781.17</v>
      </c>
      <c r="E14" s="33">
        <v>17.579999999999998</v>
      </c>
      <c r="F14" s="33">
        <v>452</v>
      </c>
      <c r="G14" s="33">
        <v>75.88</v>
      </c>
      <c r="H14" s="33">
        <v>54.53</v>
      </c>
      <c r="I14" s="33">
        <v>2.08</v>
      </c>
      <c r="J14" s="33">
        <v>112.38</v>
      </c>
      <c r="K14" s="38"/>
      <c r="L14" s="56">
        <f t="shared" si="0"/>
        <v>3.940641592920354</v>
      </c>
      <c r="M14" s="56">
        <f>+D14/G14</f>
        <v>23.473510806536638</v>
      </c>
      <c r="N14" s="56">
        <f t="shared" si="2"/>
        <v>6.807261078483716</v>
      </c>
      <c r="O14" s="56">
        <f t="shared" si="3"/>
        <v>43.515358361774751</v>
      </c>
    </row>
    <row r="15" spans="1:16" x14ac:dyDescent="0.25">
      <c r="A15" s="33" t="s">
        <v>48</v>
      </c>
      <c r="B15" s="33">
        <v>369</v>
      </c>
      <c r="C15" s="55">
        <v>49361</v>
      </c>
      <c r="D15" s="55">
        <v>43586</v>
      </c>
      <c r="E15" s="33">
        <v>8.44</v>
      </c>
      <c r="F15" s="55">
        <v>15262</v>
      </c>
      <c r="G15" s="55">
        <v>3166</v>
      </c>
      <c r="H15" s="55">
        <v>1013</v>
      </c>
      <c r="I15" s="55">
        <v>18362</v>
      </c>
      <c r="J15" s="33">
        <v>180</v>
      </c>
      <c r="K15" s="38"/>
      <c r="L15" s="56">
        <f t="shared" si="0"/>
        <v>2.855851133534268</v>
      </c>
      <c r="M15" s="56">
        <f t="shared" si="1"/>
        <v>13.766898294377764</v>
      </c>
      <c r="N15" s="56">
        <f t="shared" si="2"/>
        <v>2.0499999999999998</v>
      </c>
      <c r="O15" s="56">
        <f t="shared" si="3"/>
        <v>43.720379146919434</v>
      </c>
      <c r="P15" s="9"/>
    </row>
    <row r="16" spans="1:16" x14ac:dyDescent="0.25">
      <c r="A16" s="33" t="s">
        <v>49</v>
      </c>
      <c r="B16" s="36">
        <v>1119.2</v>
      </c>
      <c r="C16" s="55">
        <v>69000</v>
      </c>
      <c r="D16" s="55">
        <v>63842</v>
      </c>
      <c r="E16" s="33">
        <v>60.3</v>
      </c>
      <c r="F16" s="36">
        <v>31723.7</v>
      </c>
      <c r="G16" s="55">
        <v>6605</v>
      </c>
      <c r="H16" s="36">
        <v>3485.8</v>
      </c>
      <c r="I16" s="55">
        <v>7942</v>
      </c>
      <c r="J16" s="33">
        <v>562.20000000000005</v>
      </c>
      <c r="K16" s="10"/>
      <c r="L16" s="56">
        <f t="shared" si="0"/>
        <v>2.01243864996832</v>
      </c>
      <c r="M16" s="56">
        <f>+D16/G16</f>
        <v>9.6657077971233907</v>
      </c>
      <c r="N16" s="56">
        <f>B16/J16</f>
        <v>1.9907506225542511</v>
      </c>
      <c r="O16" s="56">
        <f t="shared" si="3"/>
        <v>18.560530679933667</v>
      </c>
      <c r="P16" s="9"/>
    </row>
    <row r="17" spans="1:17" x14ac:dyDescent="0.25">
      <c r="B17" s="11"/>
      <c r="C17" s="11"/>
      <c r="D17" s="11"/>
      <c r="F17" s="11"/>
      <c r="G17" s="11"/>
      <c r="H17" s="11"/>
      <c r="I17" s="10"/>
      <c r="J17" s="10"/>
      <c r="K17" s="10"/>
      <c r="L17" s="12"/>
      <c r="M17" s="12"/>
      <c r="N17" s="12"/>
      <c r="O17" s="12"/>
      <c r="P17" s="9"/>
    </row>
    <row r="18" spans="1:17" x14ac:dyDescent="0.25">
      <c r="A18" s="59" t="s">
        <v>38</v>
      </c>
      <c r="B18" s="11"/>
      <c r="C18" s="11"/>
      <c r="D18" s="11"/>
      <c r="F18" s="11"/>
      <c r="G18" s="11"/>
      <c r="H18" s="11"/>
      <c r="I18" s="10"/>
      <c r="J18" s="10"/>
      <c r="K18" s="42" t="s">
        <v>14</v>
      </c>
      <c r="L18" s="57" cm="1">
        <f t="array" ref="L18">MAX(IF(L6:L16&gt;0,L6:L16))</f>
        <v>9.4562737642585546</v>
      </c>
      <c r="M18" s="57" cm="1">
        <f t="array" ref="M18">MAX(IF(M6:M16&gt;0,M6:M16))</f>
        <v>46.654252017380507</v>
      </c>
      <c r="N18" s="57" cm="1">
        <f t="array" ref="N18">MAX(IF(N6:N16&gt;0,N6:N16))</f>
        <v>16.180115916183681</v>
      </c>
      <c r="O18" s="57" cm="1">
        <f t="array" ref="O18">MAX(IF(O6:O16&gt;0,O6:O16))</f>
        <v>72.80988731370411</v>
      </c>
      <c r="P18" s="9"/>
    </row>
    <row r="19" spans="1:17" x14ac:dyDescent="0.25">
      <c r="A19" s="33" t="s">
        <v>56</v>
      </c>
      <c r="B19" s="36">
        <v>1304.2</v>
      </c>
      <c r="C19" s="35"/>
      <c r="D19" s="35"/>
      <c r="E19" s="35"/>
      <c r="F19" s="35"/>
      <c r="H19" s="11"/>
      <c r="I19" s="10"/>
      <c r="J19" s="10"/>
      <c r="K19" s="43" t="s">
        <v>15</v>
      </c>
      <c r="L19" s="57" cm="1">
        <f t="array" ref="L19">_xlfn.QUARTILE.INC(IF(L6:L16&gt;0,L6:L16),3)</f>
        <v>4.997764122364055</v>
      </c>
      <c r="M19" s="57" cm="1">
        <f t="array" ref="M19">_xlfn.QUARTILE.INC(IF(M6:M16&gt;0,M6:M16),3)</f>
        <v>23.385871316824314</v>
      </c>
      <c r="N19" s="57" cm="1">
        <f t="array" ref="N19">_xlfn.QUARTILE.INC(IF(N6:N16&gt;0,N6:N16),3)</f>
        <v>6.2780317056655193</v>
      </c>
      <c r="O19" s="57" cm="1">
        <f t="array" ref="O19">_xlfn.QUARTILE.INC(IF(O6:O16&gt;0,O6:O16),3)</f>
        <v>52.34288548440427</v>
      </c>
      <c r="P19" s="9"/>
    </row>
    <row r="20" spans="1:17" x14ac:dyDescent="0.25">
      <c r="A20" s="33" t="s">
        <v>57</v>
      </c>
      <c r="B20" s="36">
        <v>3982.3</v>
      </c>
      <c r="H20" s="11"/>
      <c r="I20" s="10"/>
      <c r="J20" s="10"/>
      <c r="K20" s="42" t="s">
        <v>16</v>
      </c>
      <c r="L20" s="58">
        <f>AVERAGEIF(L6:L16,"&gt;0")</f>
        <v>4.0036568382352575</v>
      </c>
      <c r="M20" s="58">
        <f t="shared" ref="M20:O20" si="4">AVERAGEIF(M6:M16,"&gt;0")</f>
        <v>17.29836277310649</v>
      </c>
      <c r="N20" s="58">
        <f t="shared" si="4"/>
        <v>5.6077228777580492</v>
      </c>
      <c r="O20" s="58">
        <f t="shared" si="4"/>
        <v>41.60024360367688</v>
      </c>
      <c r="P20" s="9"/>
    </row>
    <row r="21" spans="1:17" x14ac:dyDescent="0.25">
      <c r="A21" s="33" t="s">
        <v>58</v>
      </c>
      <c r="B21" s="36">
        <v>1228.4000000000001</v>
      </c>
      <c r="H21" s="11"/>
      <c r="I21" s="10"/>
      <c r="J21" s="10"/>
      <c r="K21" s="42" t="s">
        <v>17</v>
      </c>
      <c r="L21" s="58" cm="1">
        <f t="array" ref="L21">MEDIAN(IF(L6:L16&gt;0,L6:L16))</f>
        <v>3.2816229116945106</v>
      </c>
      <c r="M21" s="58" cm="1">
        <f t="array" ref="M21">MEDIAN(IF(M6:M16&gt;0,M6:M16))</f>
        <v>14.276127465379902</v>
      </c>
      <c r="N21" s="58" cm="1">
        <f t="array" ref="N21">MEDIAN(IF(N6:N16&gt;0,N6:N16))</f>
        <v>4.0878048780487806</v>
      </c>
      <c r="O21" s="58" cm="1">
        <f t="array" ref="O21">MEDIAN(IF(O6:O16&gt;0,O6:O16))</f>
        <v>40.911044899138588</v>
      </c>
      <c r="P21" s="9"/>
    </row>
    <row r="22" spans="1:17" x14ac:dyDescent="0.25">
      <c r="A22" s="33" t="s">
        <v>18</v>
      </c>
      <c r="B22" s="33">
        <v>0</v>
      </c>
      <c r="H22" s="11"/>
      <c r="I22" s="10"/>
      <c r="J22" s="10"/>
      <c r="K22" s="43" t="s">
        <v>19</v>
      </c>
      <c r="L22" s="57" cm="1">
        <f t="array" ref="L22">_xlfn.QUARTILE.INC(IF(L6:L16&gt;0,L6:L16),1)</f>
        <v>2.228993245214268</v>
      </c>
      <c r="M22" s="57" cm="1">
        <f t="array" ref="M22">_xlfn.QUARTILE.INC(IF(M6:M16&gt;0,M6:M16),1)</f>
        <v>7.3777152362452192</v>
      </c>
      <c r="N22" s="57" cm="1">
        <f t="array" ref="N22">_xlfn.QUARTILE.INC(IF(N6:N16&gt;0,N6:N16),1)</f>
        <v>2.9031762217369481</v>
      </c>
      <c r="O22" s="57" cm="1">
        <f t="array" ref="O22">_xlfn.QUARTILE.INC(IF(O6:O16&gt;0,O6:O16),1)</f>
        <v>26.661292268668291</v>
      </c>
      <c r="P22" s="9"/>
    </row>
    <row r="23" spans="1:17" x14ac:dyDescent="0.25">
      <c r="A23" s="33" t="s">
        <v>20</v>
      </c>
      <c r="B23" s="36">
        <v>1140</v>
      </c>
      <c r="H23" s="11"/>
      <c r="I23" s="10"/>
      <c r="J23" s="10"/>
      <c r="K23" s="42" t="s">
        <v>21</v>
      </c>
      <c r="L23" s="57" cm="1">
        <f t="array" ref="L23">MIN(IF(L6:L16&gt;0,L6:L16))</f>
        <v>0.27528655454884587</v>
      </c>
      <c r="M23" s="57" cm="1">
        <f t="array" ref="M23">MIN(IF(M6:M16&gt;0,M6:M16))</f>
        <v>1.2304250559284116</v>
      </c>
      <c r="N23" s="57" cm="1">
        <f t="array" ref="N23">MIN(IF(N6:N16&gt;0,N6:N16))</f>
        <v>1.9907506225542511</v>
      </c>
      <c r="O23" s="57" cm="1">
        <f t="array" ref="O23">MIN(IF(O6:O16&gt;0,O6:O16))</f>
        <v>18.560530679933667</v>
      </c>
      <c r="P23" s="9"/>
    </row>
    <row r="24" spans="1:17" x14ac:dyDescent="0.25">
      <c r="A24" s="33" t="s">
        <v>59</v>
      </c>
      <c r="B24" s="55">
        <v>22037</v>
      </c>
      <c r="H24" s="11"/>
      <c r="I24" s="10"/>
      <c r="J24" s="10"/>
      <c r="K24" s="29"/>
      <c r="L24" s="16"/>
      <c r="M24" s="16"/>
      <c r="N24" s="16"/>
      <c r="O24" s="16"/>
      <c r="P24" s="9"/>
    </row>
    <row r="25" spans="1:17" x14ac:dyDescent="0.25">
      <c r="A25" s="33" t="s">
        <v>22</v>
      </c>
      <c r="B25" s="33">
        <v>317.92</v>
      </c>
      <c r="H25" s="11"/>
      <c r="I25" s="10"/>
      <c r="J25" s="10"/>
      <c r="K25" s="29"/>
      <c r="L25" s="16"/>
      <c r="M25" s="16"/>
      <c r="N25" s="16"/>
      <c r="O25" s="16"/>
      <c r="P25" s="9"/>
    </row>
    <row r="26" spans="1:17" x14ac:dyDescent="0.25">
      <c r="A26" s="17" t="s">
        <v>8</v>
      </c>
      <c r="B26" s="33">
        <v>41.63</v>
      </c>
      <c r="H26" s="18"/>
      <c r="K26" s="5"/>
    </row>
    <row r="27" spans="1:17" x14ac:dyDescent="0.25">
      <c r="A27" s="17" t="s">
        <v>60</v>
      </c>
      <c r="B27" s="33">
        <v>2.4700000000000002</v>
      </c>
      <c r="C27" s="19"/>
      <c r="D27" s="19"/>
      <c r="E27" s="19"/>
      <c r="F27" s="13"/>
      <c r="G27" s="20"/>
      <c r="I27" s="20"/>
      <c r="J27" s="20"/>
      <c r="K27" s="20"/>
      <c r="L27" s="21"/>
      <c r="M27" s="21"/>
      <c r="N27" s="22"/>
    </row>
    <row r="28" spans="1:17" x14ac:dyDescent="0.25">
      <c r="A28" s="23"/>
      <c r="B28" s="23"/>
      <c r="C28" s="23"/>
      <c r="D28" s="23"/>
      <c r="E28" s="24"/>
      <c r="F28" s="14"/>
      <c r="G28" s="25"/>
      <c r="H28" s="23"/>
      <c r="I28" s="26"/>
      <c r="J28" s="26"/>
      <c r="K28" s="26"/>
      <c r="L28" s="27"/>
      <c r="M28" s="27"/>
      <c r="N28" s="27"/>
      <c r="O28" s="28"/>
      <c r="P28" s="29"/>
      <c r="Q28" s="29"/>
    </row>
    <row r="29" spans="1:17" x14ac:dyDescent="0.25">
      <c r="E29" s="30"/>
      <c r="F29" s="15"/>
    </row>
    <row r="30" spans="1:17" x14ac:dyDescent="0.25">
      <c r="A30" s="29" t="s">
        <v>23</v>
      </c>
      <c r="B30" s="44"/>
      <c r="C30" s="44"/>
      <c r="D30" s="24"/>
      <c r="E30" s="30"/>
      <c r="F30" s="15"/>
    </row>
    <row r="31" spans="1:17" ht="26.4" x14ac:dyDescent="0.25">
      <c r="A31" s="45"/>
      <c r="B31" s="46" t="s">
        <v>24</v>
      </c>
      <c r="C31" s="46" t="s">
        <v>11</v>
      </c>
      <c r="D31" s="30"/>
      <c r="E31" s="30"/>
      <c r="F31" s="15"/>
    </row>
    <row r="32" spans="1:17" x14ac:dyDescent="0.25">
      <c r="A32" s="47" t="s">
        <v>25</v>
      </c>
      <c r="B32" s="48">
        <f>B20</f>
        <v>3982.3</v>
      </c>
      <c r="C32" s="48">
        <f>B19</f>
        <v>1304.2</v>
      </c>
      <c r="D32" s="55"/>
      <c r="E32" s="55"/>
      <c r="F32" s="55"/>
      <c r="H32" s="55"/>
      <c r="I32" s="55"/>
      <c r="J32" s="55"/>
      <c r="K32" s="55"/>
    </row>
    <row r="33" spans="1:6" x14ac:dyDescent="0.25">
      <c r="A33" s="47" t="s">
        <v>26</v>
      </c>
      <c r="B33" s="49">
        <f>L21</f>
        <v>3.2816229116945106</v>
      </c>
      <c r="C33" s="49">
        <f>M21</f>
        <v>14.276127465379902</v>
      </c>
      <c r="D33" s="30"/>
      <c r="E33" s="30"/>
      <c r="F33" s="15"/>
    </row>
    <row r="34" spans="1:6" x14ac:dyDescent="0.25">
      <c r="A34" s="50" t="s">
        <v>27</v>
      </c>
      <c r="B34" s="48">
        <f>B32*B33</f>
        <v>13068.40692124105</v>
      </c>
      <c r="C34" s="48">
        <f>C32*C33</f>
        <v>18618.92544034847</v>
      </c>
      <c r="D34" s="30"/>
      <c r="E34" s="30"/>
      <c r="F34" s="15"/>
    </row>
    <row r="35" spans="1:6" x14ac:dyDescent="0.25">
      <c r="A35" s="51" t="s">
        <v>28</v>
      </c>
      <c r="B35" s="50">
        <f>B22</f>
        <v>0</v>
      </c>
      <c r="C35" s="50">
        <f>B22</f>
        <v>0</v>
      </c>
      <c r="D35" s="30"/>
      <c r="E35" s="30"/>
      <c r="F35" s="15"/>
    </row>
    <row r="36" spans="1:6" x14ac:dyDescent="0.25">
      <c r="A36" s="50" t="s">
        <v>29</v>
      </c>
      <c r="B36" s="48">
        <f>B34-B35</f>
        <v>13068.40692124105</v>
      </c>
      <c r="C36" s="48">
        <f>C34-C35</f>
        <v>18618.92544034847</v>
      </c>
      <c r="D36" s="30"/>
      <c r="E36" s="30"/>
      <c r="F36" s="15"/>
    </row>
    <row r="37" spans="1:6" x14ac:dyDescent="0.25">
      <c r="A37" s="30"/>
      <c r="D37" s="30"/>
      <c r="E37" s="30"/>
      <c r="F37" s="15"/>
    </row>
    <row r="38" spans="1:6" x14ac:dyDescent="0.25">
      <c r="A38" s="15"/>
      <c r="B38" s="30"/>
      <c r="C38" s="30"/>
      <c r="D38" s="30"/>
      <c r="E38" s="30"/>
      <c r="F38" s="15"/>
    </row>
    <row r="39" spans="1:6" x14ac:dyDescent="0.25">
      <c r="A39" s="29" t="s">
        <v>30</v>
      </c>
      <c r="B39" s="31"/>
      <c r="C39" s="31"/>
      <c r="D39" s="30"/>
      <c r="E39" s="30"/>
      <c r="F39" s="15"/>
    </row>
    <row r="40" spans="1:6" x14ac:dyDescent="0.25">
      <c r="A40" s="37"/>
      <c r="B40" s="53" t="s">
        <v>31</v>
      </c>
      <c r="C40" s="53" t="s">
        <v>32</v>
      </c>
      <c r="D40" s="30"/>
      <c r="E40" s="30"/>
      <c r="F40" s="15"/>
    </row>
    <row r="41" spans="1:6" x14ac:dyDescent="0.25">
      <c r="A41" s="47" t="s">
        <v>33</v>
      </c>
      <c r="B41" s="50">
        <f>B25</f>
        <v>317.92</v>
      </c>
      <c r="C41" s="50">
        <f>B26</f>
        <v>41.63</v>
      </c>
      <c r="D41" s="30"/>
      <c r="E41" s="30"/>
      <c r="F41" s="15"/>
    </row>
    <row r="42" spans="1:6" x14ac:dyDescent="0.25">
      <c r="A42" s="45" t="s">
        <v>34</v>
      </c>
      <c r="B42" s="49">
        <f>N21</f>
        <v>4.0878048780487806</v>
      </c>
      <c r="C42" s="49">
        <f>O21</f>
        <v>40.911044899138588</v>
      </c>
      <c r="D42" s="30"/>
      <c r="E42" s="30"/>
      <c r="F42" s="15"/>
    </row>
    <row r="43" spans="1:6" x14ac:dyDescent="0.25">
      <c r="A43" s="46" t="s">
        <v>35</v>
      </c>
      <c r="B43" s="52">
        <f>B41*B42</f>
        <v>1299.5949268292684</v>
      </c>
      <c r="C43" s="52">
        <f>C41*C42</f>
        <v>1703.1267991511395</v>
      </c>
      <c r="D43" s="30"/>
      <c r="E43" s="30"/>
      <c r="F43" s="15"/>
    </row>
    <row r="44" spans="1:6" x14ac:dyDescent="0.25">
      <c r="A44" s="51" t="s">
        <v>36</v>
      </c>
      <c r="B44" s="52">
        <f>B43*B27</f>
        <v>3209.9994692682931</v>
      </c>
      <c r="C44" s="52">
        <f>C43*B27</f>
        <v>4206.7231939033145</v>
      </c>
      <c r="D44" s="30"/>
      <c r="E44" s="30"/>
      <c r="F44" s="15"/>
    </row>
    <row r="45" spans="1:6" x14ac:dyDescent="0.25">
      <c r="A45" s="51" t="s">
        <v>37</v>
      </c>
      <c r="B45" s="50">
        <f>B22</f>
        <v>0</v>
      </c>
      <c r="C45" s="50">
        <f>B22</f>
        <v>0</v>
      </c>
      <c r="D45" s="30"/>
    </row>
    <row r="46" spans="1:6" x14ac:dyDescent="0.25">
      <c r="A46" s="46" t="s">
        <v>27</v>
      </c>
      <c r="B46" s="52">
        <f>B44+B45</f>
        <v>3209.9994692682931</v>
      </c>
      <c r="C46" s="52">
        <f>C44+C45</f>
        <v>4206.7231939033145</v>
      </c>
      <c r="D46" s="30"/>
    </row>
  </sheetData>
  <mergeCells count="5">
    <mergeCell ref="L3:O3"/>
    <mergeCell ref="B3:D3"/>
    <mergeCell ref="L4:M4"/>
    <mergeCell ref="N4:O4"/>
    <mergeCell ref="F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Diya Agarwal</dc:creator>
  <cp:lastModifiedBy>Diya Agarwal</cp:lastModifiedBy>
  <dcterms:created xsi:type="dcterms:W3CDTF">2025-09-21T18:15:27Z</dcterms:created>
  <dcterms:modified xsi:type="dcterms:W3CDTF">2025-09-21T20:45:55Z</dcterms:modified>
</cp:coreProperties>
</file>