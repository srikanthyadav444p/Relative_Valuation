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7_ Relative Valuation\RV_Protected\"/>
    </mc:Choice>
  </mc:AlternateContent>
  <xr:revisionPtr revIDLastSave="0" documentId="13_ncr:1_{52BEBCED-5AEE-453D-A574-728B64A9F370}" xr6:coauthVersionLast="47" xr6:coauthVersionMax="47" xr10:uidLastSave="{00000000-0000-0000-0000-000000000000}"/>
  <workbookProtection workbookPassword="AE3A" lockStructure="1"/>
  <bookViews>
    <workbookView xWindow="-110" yWindow="-110" windowWidth="19420" windowHeight="10300" activeTab="2" xr2:uid="{00000000-000D-0000-FFFF-FFFF00000000}"/>
  </bookViews>
  <sheets>
    <sheet name="Index" sheetId="1" r:id="rId1"/>
    <sheet name="P1_Pharma" sheetId="2" r:id="rId2"/>
    <sheet name="P2_IT" sheetId="3" r:id="rId3"/>
    <sheet name="P3_Auto" sheetId="4" r:id="rId4"/>
    <sheet name="P4_FMCG" sheetId="5" r:id="rId5"/>
    <sheet name="P5_Rene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D28" i="6"/>
  <c r="E25" i="6"/>
  <c r="D25" i="6"/>
  <c r="E19" i="6"/>
  <c r="D19" i="6"/>
  <c r="E17" i="6"/>
  <c r="D17" i="6"/>
  <c r="E16" i="6"/>
  <c r="E18" i="6" s="1"/>
  <c r="E20" i="6" s="1"/>
  <c r="E21" i="6" s="1"/>
  <c r="D16" i="6"/>
  <c r="D18" i="6" s="1"/>
  <c r="D20" i="6" s="1"/>
  <c r="D21" i="6" s="1"/>
  <c r="E7" i="6"/>
  <c r="E24" i="6" s="1"/>
  <c r="E26" i="6" s="1"/>
  <c r="E27" i="6" s="1"/>
  <c r="E29" i="6" s="1"/>
  <c r="E6" i="6"/>
  <c r="D24" i="6" s="1"/>
  <c r="D26" i="6" s="1"/>
  <c r="D27" i="6" s="1"/>
  <c r="D29" i="6" s="1"/>
  <c r="E28" i="5"/>
  <c r="D28" i="5"/>
  <c r="E25" i="5"/>
  <c r="D25" i="5"/>
  <c r="E24" i="5"/>
  <c r="E26" i="5" s="1"/>
  <c r="E27" i="5" s="1"/>
  <c r="E29" i="5" s="1"/>
  <c r="D24" i="5"/>
  <c r="D26" i="5" s="1"/>
  <c r="D27" i="5" s="1"/>
  <c r="D29" i="5" s="1"/>
  <c r="E19" i="5"/>
  <c r="D19" i="5"/>
  <c r="E17" i="5"/>
  <c r="D17" i="5"/>
  <c r="E16" i="5"/>
  <c r="E18" i="5" s="1"/>
  <c r="E20" i="5" s="1"/>
  <c r="E21" i="5" s="1"/>
  <c r="D16" i="5"/>
  <c r="D18" i="5" s="1"/>
  <c r="D20" i="5" s="1"/>
  <c r="D21" i="5" s="1"/>
  <c r="E7" i="5"/>
  <c r="E6" i="5"/>
  <c r="E28" i="4"/>
  <c r="D28" i="4"/>
  <c r="E25" i="4"/>
  <c r="D25" i="4"/>
  <c r="E19" i="4"/>
  <c r="D19" i="4"/>
  <c r="E17" i="4"/>
  <c r="D17" i="4"/>
  <c r="E16" i="4"/>
  <c r="E18" i="4" s="1"/>
  <c r="E20" i="4" s="1"/>
  <c r="E21" i="4" s="1"/>
  <c r="D16" i="4"/>
  <c r="D18" i="4" s="1"/>
  <c r="D20" i="4" s="1"/>
  <c r="D21" i="4" s="1"/>
  <c r="E7" i="4"/>
  <c r="E24" i="4" s="1"/>
  <c r="E26" i="4" s="1"/>
  <c r="E27" i="4" s="1"/>
  <c r="E29" i="4" s="1"/>
  <c r="E6" i="4"/>
  <c r="D24" i="4" s="1"/>
  <c r="D26" i="4" s="1"/>
  <c r="D27" i="4" s="1"/>
  <c r="D29" i="4" s="1"/>
  <c r="E28" i="3"/>
  <c r="D28" i="3"/>
  <c r="E25" i="3"/>
  <c r="D25" i="3"/>
  <c r="E24" i="3"/>
  <c r="E26" i="3" s="1"/>
  <c r="E27" i="3" s="1"/>
  <c r="E29" i="3" s="1"/>
  <c r="D24" i="3"/>
  <c r="D26" i="3" s="1"/>
  <c r="D27" i="3" s="1"/>
  <c r="D29" i="3" s="1"/>
  <c r="E19" i="3"/>
  <c r="D19" i="3"/>
  <c r="E17" i="3"/>
  <c r="D17" i="3"/>
  <c r="E16" i="3"/>
  <c r="E18" i="3" s="1"/>
  <c r="E20" i="3" s="1"/>
  <c r="E21" i="3" s="1"/>
  <c r="D16" i="3"/>
  <c r="D18" i="3" s="1"/>
  <c r="D20" i="3" s="1"/>
  <c r="D21" i="3" s="1"/>
  <c r="E7" i="3"/>
  <c r="E6" i="3"/>
  <c r="E28" i="2"/>
  <c r="D28" i="2"/>
  <c r="E25" i="2"/>
  <c r="D25" i="2"/>
  <c r="E19" i="2"/>
  <c r="D19" i="2"/>
  <c r="E17" i="2"/>
  <c r="D17" i="2"/>
  <c r="E16" i="2"/>
  <c r="E18" i="2" s="1"/>
  <c r="E20" i="2" s="1"/>
  <c r="E21" i="2" s="1"/>
  <c r="D16" i="2"/>
  <c r="D18" i="2" s="1"/>
  <c r="D20" i="2" s="1"/>
  <c r="D21" i="2" s="1"/>
  <c r="E7" i="2"/>
  <c r="E24" i="2" s="1"/>
  <c r="E26" i="2" s="1"/>
  <c r="E27" i="2" s="1"/>
  <c r="E29" i="2" s="1"/>
  <c r="E6" i="2"/>
  <c r="D24" i="2" s="1"/>
  <c r="D26" i="2" s="1"/>
  <c r="D27" i="2" s="1"/>
  <c r="D29" i="2" s="1"/>
</calcChain>
</file>

<file path=xl/sharedStrings.xml><?xml version="1.0" encoding="utf-8"?>
<sst xmlns="http://schemas.openxmlformats.org/spreadsheetml/2006/main" count="182" uniqueCount="44">
  <si>
    <t>Relative Valuation Models (Exact Template Steps) – Index</t>
  </si>
  <si>
    <t>Click a link to open the problem sheet:</t>
  </si>
  <si>
    <t>1. Problem 1 – Pharmaceutical Industry</t>
  </si>
  <si>
    <t>2. Problem 2 – IT Services Industry</t>
  </si>
  <si>
    <t>3. Problem 3 – Automobile Manufacturing</t>
  </si>
  <si>
    <t>4. Problem 4 – FMCG Industry</t>
  </si>
  <si>
    <t>5. Problem 5 – Renewable Energy</t>
  </si>
  <si>
    <t>Problem 1 – Pharmaceutical Industry</t>
  </si>
  <si>
    <t>← Back to Index</t>
  </si>
  <si>
    <t>Given Inputs (₹ Crore; Shares in Crore)</t>
  </si>
  <si>
    <t>Revenue</t>
  </si>
  <si>
    <t>Derived Per-Share Inputs</t>
  </si>
  <si>
    <t>EBITDA</t>
  </si>
  <si>
    <t>Book Value per Share (BVPS)</t>
  </si>
  <si>
    <t>Net Profit</t>
  </si>
  <si>
    <t>Earnings per Share (EPS)</t>
  </si>
  <si>
    <t>Book Value of Equity</t>
  </si>
  <si>
    <t>Peer Median Multiples</t>
  </si>
  <si>
    <t>Net Debt (negative = Net Cash)</t>
  </si>
  <si>
    <t>EV/Revenue</t>
  </si>
  <si>
    <t>Shares Outstanding (Crore)</t>
  </si>
  <si>
    <t>EV/EBITDA</t>
  </si>
  <si>
    <t>P/BV</t>
  </si>
  <si>
    <t>P/E</t>
  </si>
  <si>
    <t>Enterprise Value and Equity Value of Target Company Based on Enterprise Value Multiples</t>
  </si>
  <si>
    <t>EV/Revenue -
Multiple</t>
  </si>
  <si>
    <t>Target Company Revenue, EBITDA</t>
  </si>
  <si>
    <t>Peer Median</t>
  </si>
  <si>
    <t>Implied Enterprise Value</t>
  </si>
  <si>
    <t>Target Company Debt</t>
  </si>
  <si>
    <t>Implied Equity Value</t>
  </si>
  <si>
    <t>Intrinsic Value Per share</t>
  </si>
  <si>
    <t>Enterprise Value and Equity Value  Based on Market Price Multiples</t>
  </si>
  <si>
    <t>P/BV Multiple</t>
  </si>
  <si>
    <t>P/E Multiple</t>
  </si>
  <si>
    <t>Target Company Book Value, EPS</t>
  </si>
  <si>
    <t>Peer Median P/BV and P/E Multiple</t>
  </si>
  <si>
    <t>Implied Equity Value  per share</t>
  </si>
  <si>
    <t>Total Equity Value (total in Rs. Cr)</t>
  </si>
  <si>
    <t>Net Debt</t>
  </si>
  <si>
    <t>Problem 2 – IT Services Industry</t>
  </si>
  <si>
    <t>Problem 3 – Automobile Manufacturing</t>
  </si>
  <si>
    <t>Problem 4 – FMCG Industry</t>
  </si>
  <si>
    <t>Problem 5 – Renewable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</si>
</sst>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###,##0.00"/>
    <numFmt numFmtId="165" formatCode="##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u/>
      <sz val="11"/>
      <color rgb="FF0000EE"/>
      <name val="Calibri"/>
      <family val="2"/>
    </font>
    <font>
      <b/>
      <sz val="16"/>
      <name val="Calibri"/>
      <family val="2"/>
    </font>
    <font>
      <b/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165" fontId="0" fillId="4" borderId="1" xfId="0" applyNumberForma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64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4.5" x14ac:dyDescent="0.35"/>
  <cols>
    <col min="1" max="1" width="46" customWidth="1"/>
    <col min="2" max="6" width="20" customWidth="1"/>
  </cols>
  <sheetData>
    <row r="1" spans="1:6" ht="28" customHeight="1" x14ac:dyDescent="0.35">
      <c r="A1" s="16" t="s">
        <v>0</v>
      </c>
      <c r="B1" s="17"/>
      <c r="C1" s="17"/>
      <c r="D1" s="17"/>
      <c r="E1" s="17"/>
      <c r="F1" s="17"/>
    </row>
    <row r="3" spans="1:6" x14ac:dyDescent="0.35">
      <c r="A3" s="1" t="s">
        <v>1</v>
      </c>
    </row>
    <row r="5" spans="1:6" x14ac:dyDescent="0.35">
      <c r="A5" s="13" t="s">
        <v>2</v>
      </c>
      <c r="B5" s="14"/>
      <c r="C5" s="14"/>
      <c r="D5" s="14"/>
      <c r="E5" s="14"/>
      <c r="F5" s="15"/>
    </row>
    <row r="7" spans="1:6" x14ac:dyDescent="0.35">
      <c r="A7" s="13" t="s">
        <v>3</v>
      </c>
      <c r="B7" s="14"/>
      <c r="C7" s="14"/>
      <c r="D7" s="14"/>
      <c r="E7" s="14"/>
      <c r="F7" s="15"/>
    </row>
    <row r="9" spans="1:6" x14ac:dyDescent="0.35">
      <c r="A9" s="13" t="s">
        <v>4</v>
      </c>
      <c r="B9" s="14"/>
      <c r="C9" s="14"/>
      <c r="D9" s="14"/>
      <c r="E9" s="14"/>
      <c r="F9" s="15"/>
    </row>
    <row r="11" spans="1:6" x14ac:dyDescent="0.35">
      <c r="A11" s="13" t="s">
        <v>5</v>
      </c>
      <c r="B11" s="14"/>
      <c r="C11" s="14"/>
      <c r="D11" s="14"/>
      <c r="E11" s="14"/>
      <c r="F11" s="15"/>
    </row>
    <row r="13" spans="1:6" x14ac:dyDescent="0.35">
      <c r="A13" s="13" t="s">
        <v>6</v>
      </c>
      <c r="B13" s="14"/>
      <c r="C13" s="14"/>
      <c r="D13" s="14"/>
      <c r="E13" s="14"/>
      <c r="F13" s="15"/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A11:F11"/>
    <mergeCell ref="A13:F13"/>
    <mergeCell ref="A1:F1"/>
    <mergeCell ref="A5:F5"/>
    <mergeCell ref="A9:F9"/>
    <mergeCell ref="A7:F7"/>
  </mergeCells>
  <hyperlinks>
    <hyperlink ref="A5" location="P1_Pharma!A1" display="1. Problem 1 – Pharmaceutical Industry" xr:uid="{00000000-0004-0000-0000-000000000000}"/>
    <hyperlink ref="A7" location="P2_IT!A1" display="2. Problem 2 – IT Services Industry" xr:uid="{00000000-0004-0000-0000-000001000000}"/>
    <hyperlink ref="A9" location="P3_Auto!A1" display="3. Problem 3 – Automobile Manufacturing" xr:uid="{00000000-0004-0000-0000-000002000000}"/>
    <hyperlink ref="A11" location="P4_FMCG!A1" display="4. Problem 4 – FMCG Industry" xr:uid="{00000000-0004-0000-0000-000003000000}"/>
    <hyperlink ref="A13" location="P5_Renew!A1" display="5. Problem 5 – Renewable Energy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zoomScaleNormal="100" workbookViewId="0">
      <pane ySplit="4" topLeftCell="A18" activePane="bottomLeft" state="frozen"/>
      <selection pane="bottomLeft" activeCell="I31" sqref="I31"/>
    </sheetView>
  </sheetViews>
  <sheetFormatPr defaultRowHeight="14.5" x14ac:dyDescent="0.35"/>
  <cols>
    <col min="1" max="1" width="44.08984375" customWidth="1"/>
    <col min="2" max="2" width="16.6328125" customWidth="1"/>
    <col min="3" max="6" width="20" customWidth="1"/>
  </cols>
  <sheetData>
    <row r="1" spans="1:6" x14ac:dyDescent="0.35">
      <c r="A1" s="20" t="s">
        <v>7</v>
      </c>
      <c r="B1" s="17"/>
      <c r="C1" s="17"/>
      <c r="D1" s="17"/>
      <c r="E1" s="17"/>
      <c r="F1" s="17"/>
    </row>
    <row r="2" spans="1:6" x14ac:dyDescent="0.35">
      <c r="A2" s="2" t="s">
        <v>8</v>
      </c>
    </row>
    <row r="4" spans="1:6" x14ac:dyDescent="0.35">
      <c r="A4" s="21" t="s">
        <v>9</v>
      </c>
      <c r="B4" s="17"/>
      <c r="C4" s="17"/>
      <c r="D4" s="17"/>
      <c r="E4" s="17"/>
      <c r="F4" s="17"/>
    </row>
    <row r="5" spans="1:6" x14ac:dyDescent="0.35">
      <c r="A5" s="3" t="s">
        <v>10</v>
      </c>
      <c r="B5" s="4">
        <v>8900</v>
      </c>
      <c r="D5" s="18" t="s">
        <v>11</v>
      </c>
      <c r="E5" s="14"/>
      <c r="F5" s="15"/>
    </row>
    <row r="6" spans="1:6" ht="29" customHeight="1" x14ac:dyDescent="0.35">
      <c r="A6" s="3" t="s">
        <v>12</v>
      </c>
      <c r="B6" s="4">
        <v>1250</v>
      </c>
      <c r="D6" s="3" t="s">
        <v>13</v>
      </c>
      <c r="E6" s="4">
        <f>B8/B10</f>
        <v>74.193548387096769</v>
      </c>
    </row>
    <row r="7" spans="1:6" ht="29" customHeight="1" x14ac:dyDescent="0.35">
      <c r="A7" s="3" t="s">
        <v>14</v>
      </c>
      <c r="B7" s="4">
        <v>820</v>
      </c>
      <c r="D7" s="3" t="s">
        <v>15</v>
      </c>
      <c r="E7" s="4">
        <f>B7/B10</f>
        <v>13.225806451612904</v>
      </c>
    </row>
    <row r="8" spans="1:6" x14ac:dyDescent="0.35">
      <c r="A8" s="3" t="s">
        <v>16</v>
      </c>
      <c r="B8" s="4">
        <v>4600</v>
      </c>
      <c r="D8" s="21" t="s">
        <v>17</v>
      </c>
      <c r="E8" s="17"/>
      <c r="F8" s="17"/>
    </row>
    <row r="9" spans="1:6" x14ac:dyDescent="0.35">
      <c r="A9" s="3" t="s">
        <v>18</v>
      </c>
      <c r="B9" s="4">
        <v>900</v>
      </c>
      <c r="D9" s="3" t="s">
        <v>19</v>
      </c>
      <c r="E9" s="5">
        <v>5.9</v>
      </c>
    </row>
    <row r="10" spans="1:6" x14ac:dyDescent="0.35">
      <c r="A10" s="3" t="s">
        <v>20</v>
      </c>
      <c r="B10" s="6">
        <v>62</v>
      </c>
      <c r="D10" s="3" t="s">
        <v>21</v>
      </c>
      <c r="E10" s="5">
        <v>17.8</v>
      </c>
    </row>
    <row r="11" spans="1:6" x14ac:dyDescent="0.35">
      <c r="D11" s="3" t="s">
        <v>22</v>
      </c>
      <c r="E11" s="5">
        <v>4.5</v>
      </c>
    </row>
    <row r="12" spans="1:6" x14ac:dyDescent="0.35">
      <c r="D12" s="3" t="s">
        <v>23</v>
      </c>
      <c r="E12" s="5">
        <v>26.5</v>
      </c>
    </row>
    <row r="14" spans="1:6" ht="17" customHeight="1" x14ac:dyDescent="0.35">
      <c r="A14" s="19" t="s">
        <v>24</v>
      </c>
      <c r="B14" s="14"/>
      <c r="C14" s="14"/>
      <c r="D14" s="14"/>
      <c r="E14" s="14"/>
      <c r="F14" s="15"/>
    </row>
    <row r="15" spans="1:6" ht="29" customHeight="1" x14ac:dyDescent="0.35">
      <c r="A15" s="7"/>
      <c r="B15" s="8"/>
      <c r="C15" s="8"/>
      <c r="D15" s="8" t="s">
        <v>25</v>
      </c>
      <c r="E15" s="8" t="s">
        <v>21</v>
      </c>
      <c r="F15" s="8"/>
    </row>
    <row r="16" spans="1:6" x14ac:dyDescent="0.35">
      <c r="A16" s="9" t="s">
        <v>26</v>
      </c>
      <c r="D16" s="10">
        <f>B5</f>
        <v>8900</v>
      </c>
      <c r="E16" s="10">
        <f>B6</f>
        <v>1250</v>
      </c>
    </row>
    <row r="17" spans="1:6" x14ac:dyDescent="0.35">
      <c r="A17" s="9" t="s">
        <v>27</v>
      </c>
      <c r="D17" s="11">
        <f>E9</f>
        <v>5.9</v>
      </c>
      <c r="E17" s="11">
        <f>E10</f>
        <v>17.8</v>
      </c>
    </row>
    <row r="18" spans="1:6" x14ac:dyDescent="0.35">
      <c r="A18" s="9" t="s">
        <v>28</v>
      </c>
      <c r="D18" s="12">
        <f>D16*D17</f>
        <v>52510</v>
      </c>
      <c r="E18" s="12">
        <f>E16*E17</f>
        <v>22250</v>
      </c>
    </row>
    <row r="19" spans="1:6" x14ac:dyDescent="0.35">
      <c r="A19" s="9" t="s">
        <v>29</v>
      </c>
      <c r="D19" s="10">
        <f>B9</f>
        <v>900</v>
      </c>
      <c r="E19" s="10">
        <f>B9</f>
        <v>900</v>
      </c>
    </row>
    <row r="20" spans="1:6" x14ac:dyDescent="0.35">
      <c r="A20" s="9" t="s">
        <v>30</v>
      </c>
      <c r="D20" s="12">
        <f>D18-D19</f>
        <v>51610</v>
      </c>
      <c r="E20" s="12">
        <f>E18-E19</f>
        <v>21350</v>
      </c>
    </row>
    <row r="21" spans="1:6" x14ac:dyDescent="0.35">
      <c r="A21" s="9" t="s">
        <v>31</v>
      </c>
      <c r="D21" s="12">
        <f>D20/$B$10</f>
        <v>832.41935483870964</v>
      </c>
      <c r="E21" s="12">
        <f>E20/$B$10</f>
        <v>344.35483870967744</v>
      </c>
    </row>
    <row r="22" spans="1:6" ht="17" customHeight="1" x14ac:dyDescent="0.35">
      <c r="A22" s="19" t="s">
        <v>32</v>
      </c>
      <c r="B22" s="14"/>
      <c r="C22" s="14"/>
      <c r="D22" s="14"/>
      <c r="E22" s="14"/>
      <c r="F22" s="15"/>
    </row>
    <row r="23" spans="1:6" x14ac:dyDescent="0.35">
      <c r="A23" s="7"/>
      <c r="B23" s="8"/>
      <c r="C23" s="8"/>
      <c r="D23" s="8" t="s">
        <v>33</v>
      </c>
      <c r="E23" s="8" t="s">
        <v>34</v>
      </c>
      <c r="F23" s="8"/>
    </row>
    <row r="24" spans="1:6" x14ac:dyDescent="0.35">
      <c r="A24" s="9" t="s">
        <v>35</v>
      </c>
      <c r="D24" s="10">
        <f>E6</f>
        <v>74.193548387096769</v>
      </c>
      <c r="E24" s="10">
        <f>E7</f>
        <v>13.225806451612904</v>
      </c>
    </row>
    <row r="25" spans="1:6" x14ac:dyDescent="0.35">
      <c r="A25" s="7" t="s">
        <v>36</v>
      </c>
      <c r="D25" s="11">
        <f>E11</f>
        <v>4.5</v>
      </c>
      <c r="E25" s="11">
        <f>E12</f>
        <v>26.5</v>
      </c>
    </row>
    <row r="26" spans="1:6" x14ac:dyDescent="0.35">
      <c r="A26" s="7" t="s">
        <v>37</v>
      </c>
      <c r="D26" s="12">
        <f>D24*D25</f>
        <v>333.87096774193549</v>
      </c>
      <c r="E26" s="12">
        <f>E24*E25</f>
        <v>350.48387096774195</v>
      </c>
    </row>
    <row r="27" spans="1:6" x14ac:dyDescent="0.35">
      <c r="A27" s="9" t="s">
        <v>38</v>
      </c>
      <c r="D27" s="10">
        <f>D26*$B$10</f>
        <v>20700</v>
      </c>
      <c r="E27" s="10">
        <f>E26*$B$10</f>
        <v>21730</v>
      </c>
    </row>
    <row r="28" spans="1:6" x14ac:dyDescent="0.35">
      <c r="A28" s="9" t="s">
        <v>39</v>
      </c>
      <c r="D28" s="10">
        <f>B9</f>
        <v>900</v>
      </c>
      <c r="E28" s="10">
        <f>B9</f>
        <v>900</v>
      </c>
    </row>
    <row r="29" spans="1:6" x14ac:dyDescent="0.35">
      <c r="A29" s="7" t="s">
        <v>28</v>
      </c>
      <c r="D29" s="12">
        <f>D27+D28</f>
        <v>21600</v>
      </c>
      <c r="E29" s="12">
        <f>E27+E28</f>
        <v>22630</v>
      </c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D5:F5"/>
    <mergeCell ref="A14:F14"/>
    <mergeCell ref="A1:F1"/>
    <mergeCell ref="A22:F22"/>
    <mergeCell ref="A4:F4"/>
    <mergeCell ref="D8:F8"/>
  </mergeCells>
  <hyperlinks>
    <hyperlink ref="A2" location="Index!A1" display="← Back to Index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pane ySplit="4" topLeftCell="A9" activePane="bottomLeft" state="frozen"/>
      <selection pane="bottomLeft" activeCell="F11" sqref="F11"/>
    </sheetView>
  </sheetViews>
  <sheetFormatPr defaultRowHeight="14.5" x14ac:dyDescent="0.35"/>
  <cols>
    <col min="1" max="1" width="46" customWidth="1"/>
    <col min="2" max="6" width="20" customWidth="1"/>
  </cols>
  <sheetData>
    <row r="1" spans="1:6" x14ac:dyDescent="0.35">
      <c r="A1" s="20" t="s">
        <v>40</v>
      </c>
      <c r="B1" s="17"/>
      <c r="C1" s="17"/>
      <c r="D1" s="17"/>
      <c r="E1" s="17"/>
      <c r="F1" s="17"/>
    </row>
    <row r="2" spans="1:6" x14ac:dyDescent="0.35">
      <c r="A2" s="2" t="s">
        <v>8</v>
      </c>
    </row>
    <row r="4" spans="1:6" x14ac:dyDescent="0.35">
      <c r="A4" s="21" t="s">
        <v>9</v>
      </c>
      <c r="B4" s="17"/>
      <c r="C4" s="17"/>
      <c r="D4" s="17"/>
      <c r="E4" s="17"/>
      <c r="F4" s="17"/>
    </row>
    <row r="5" spans="1:6" x14ac:dyDescent="0.35">
      <c r="A5" s="3" t="s">
        <v>10</v>
      </c>
      <c r="B5" s="4">
        <v>7400</v>
      </c>
      <c r="D5" s="18" t="s">
        <v>11</v>
      </c>
      <c r="E5" s="14"/>
      <c r="F5" s="15"/>
    </row>
    <row r="6" spans="1:6" ht="29" customHeight="1" x14ac:dyDescent="0.35">
      <c r="A6" s="3" t="s">
        <v>12</v>
      </c>
      <c r="B6" s="4">
        <v>980</v>
      </c>
      <c r="D6" s="3" t="s">
        <v>13</v>
      </c>
      <c r="E6" s="4">
        <f>B8/B10</f>
        <v>66.666666666666671</v>
      </c>
    </row>
    <row r="7" spans="1:6" ht="29" customHeight="1" x14ac:dyDescent="0.35">
      <c r="A7" s="3" t="s">
        <v>14</v>
      </c>
      <c r="B7" s="4">
        <v>720</v>
      </c>
      <c r="D7" s="3" t="s">
        <v>15</v>
      </c>
      <c r="E7" s="4">
        <f>B7/B10</f>
        <v>15</v>
      </c>
    </row>
    <row r="8" spans="1:6" x14ac:dyDescent="0.35">
      <c r="A8" s="3" t="s">
        <v>16</v>
      </c>
      <c r="B8" s="4">
        <v>3200</v>
      </c>
      <c r="D8" s="21" t="s">
        <v>17</v>
      </c>
      <c r="E8" s="17"/>
      <c r="F8" s="17"/>
    </row>
    <row r="9" spans="1:6" x14ac:dyDescent="0.35">
      <c r="A9" s="3" t="s">
        <v>18</v>
      </c>
      <c r="B9" s="4">
        <v>-300</v>
      </c>
      <c r="D9" s="3" t="s">
        <v>19</v>
      </c>
      <c r="E9" s="5">
        <v>4.5999999999999996</v>
      </c>
    </row>
    <row r="10" spans="1:6" x14ac:dyDescent="0.35">
      <c r="A10" s="3" t="s">
        <v>20</v>
      </c>
      <c r="B10" s="6">
        <v>48</v>
      </c>
      <c r="D10" s="3" t="s">
        <v>21</v>
      </c>
      <c r="E10" s="5">
        <v>15.6</v>
      </c>
    </row>
    <row r="11" spans="1:6" x14ac:dyDescent="0.35">
      <c r="D11" s="3" t="s">
        <v>22</v>
      </c>
      <c r="E11" s="5">
        <v>6.1</v>
      </c>
    </row>
    <row r="12" spans="1:6" x14ac:dyDescent="0.35">
      <c r="D12" s="3" t="s">
        <v>23</v>
      </c>
      <c r="E12" s="5">
        <v>22.5</v>
      </c>
    </row>
    <row r="14" spans="1:6" ht="17" customHeight="1" x14ac:dyDescent="0.35">
      <c r="A14" s="19" t="s">
        <v>24</v>
      </c>
      <c r="B14" s="14"/>
      <c r="C14" s="14"/>
      <c r="D14" s="14"/>
      <c r="E14" s="14"/>
      <c r="F14" s="15"/>
    </row>
    <row r="15" spans="1:6" ht="29" customHeight="1" x14ac:dyDescent="0.35">
      <c r="A15" s="7"/>
      <c r="B15" s="8"/>
      <c r="C15" s="8"/>
      <c r="D15" s="8" t="s">
        <v>25</v>
      </c>
      <c r="E15" s="8" t="s">
        <v>21</v>
      </c>
      <c r="F15" s="8"/>
    </row>
    <row r="16" spans="1:6" x14ac:dyDescent="0.35">
      <c r="A16" s="9" t="s">
        <v>26</v>
      </c>
      <c r="D16" s="10">
        <f>B5</f>
        <v>7400</v>
      </c>
      <c r="E16" s="10">
        <f>B6</f>
        <v>980</v>
      </c>
    </row>
    <row r="17" spans="1:6" x14ac:dyDescent="0.35">
      <c r="A17" s="9" t="s">
        <v>27</v>
      </c>
      <c r="D17" s="11">
        <f>E9</f>
        <v>4.5999999999999996</v>
      </c>
      <c r="E17" s="11">
        <f>E10</f>
        <v>15.6</v>
      </c>
    </row>
    <row r="18" spans="1:6" x14ac:dyDescent="0.35">
      <c r="A18" s="9" t="s">
        <v>28</v>
      </c>
      <c r="D18" s="12">
        <f>D16*D17</f>
        <v>34040</v>
      </c>
      <c r="E18" s="12">
        <f>E16*E17</f>
        <v>15288</v>
      </c>
    </row>
    <row r="19" spans="1:6" x14ac:dyDescent="0.35">
      <c r="A19" s="9" t="s">
        <v>29</v>
      </c>
      <c r="D19" s="10">
        <f>B9</f>
        <v>-300</v>
      </c>
      <c r="E19" s="10">
        <f>B9</f>
        <v>-300</v>
      </c>
    </row>
    <row r="20" spans="1:6" x14ac:dyDescent="0.35">
      <c r="A20" s="9" t="s">
        <v>30</v>
      </c>
      <c r="D20" s="12">
        <f>D18-D19</f>
        <v>34340</v>
      </c>
      <c r="E20" s="12">
        <f>E18-E19</f>
        <v>15588</v>
      </c>
    </row>
    <row r="21" spans="1:6" x14ac:dyDescent="0.35">
      <c r="A21" s="9" t="s">
        <v>31</v>
      </c>
      <c r="D21" s="12">
        <f>D20/$B$10</f>
        <v>715.41666666666663</v>
      </c>
      <c r="E21" s="12">
        <f>E20/$B$10</f>
        <v>324.75</v>
      </c>
    </row>
    <row r="22" spans="1:6" ht="17" customHeight="1" x14ac:dyDescent="0.35">
      <c r="A22" s="19" t="s">
        <v>32</v>
      </c>
      <c r="B22" s="14"/>
      <c r="C22" s="14"/>
      <c r="D22" s="14"/>
      <c r="E22" s="14"/>
      <c r="F22" s="15"/>
    </row>
    <row r="23" spans="1:6" x14ac:dyDescent="0.35">
      <c r="A23" s="7"/>
      <c r="B23" s="8"/>
      <c r="C23" s="8"/>
      <c r="D23" s="8" t="s">
        <v>33</v>
      </c>
      <c r="E23" s="8" t="s">
        <v>34</v>
      </c>
      <c r="F23" s="8"/>
    </row>
    <row r="24" spans="1:6" x14ac:dyDescent="0.35">
      <c r="A24" s="9" t="s">
        <v>35</v>
      </c>
      <c r="D24" s="10">
        <f>E6</f>
        <v>66.666666666666671</v>
      </c>
      <c r="E24" s="10">
        <f>E7</f>
        <v>15</v>
      </c>
    </row>
    <row r="25" spans="1:6" x14ac:dyDescent="0.35">
      <c r="A25" s="7" t="s">
        <v>36</v>
      </c>
      <c r="D25" s="11">
        <f>E11</f>
        <v>6.1</v>
      </c>
      <c r="E25" s="11">
        <f>E12</f>
        <v>22.5</v>
      </c>
    </row>
    <row r="26" spans="1:6" x14ac:dyDescent="0.35">
      <c r="A26" s="7" t="s">
        <v>37</v>
      </c>
      <c r="D26" s="12">
        <f>D24*D25</f>
        <v>406.66666666666669</v>
      </c>
      <c r="E26" s="12">
        <f>E24*E25</f>
        <v>337.5</v>
      </c>
    </row>
    <row r="27" spans="1:6" x14ac:dyDescent="0.35">
      <c r="A27" s="9" t="s">
        <v>38</v>
      </c>
      <c r="D27" s="10">
        <f>D26*$B$10</f>
        <v>19520</v>
      </c>
      <c r="E27" s="10">
        <f>E26*$B$10</f>
        <v>16200</v>
      </c>
    </row>
    <row r="28" spans="1:6" x14ac:dyDescent="0.35">
      <c r="A28" s="9" t="s">
        <v>39</v>
      </c>
      <c r="D28" s="10">
        <f>B9</f>
        <v>-300</v>
      </c>
      <c r="E28" s="10">
        <f>B9</f>
        <v>-300</v>
      </c>
    </row>
    <row r="29" spans="1:6" x14ac:dyDescent="0.35">
      <c r="A29" s="7" t="s">
        <v>28</v>
      </c>
      <c r="D29" s="12">
        <f>D27+D28</f>
        <v>19220</v>
      </c>
      <c r="E29" s="12">
        <f>E27+E28</f>
        <v>15900</v>
      </c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D5:F5"/>
    <mergeCell ref="A14:F14"/>
    <mergeCell ref="A1:F1"/>
    <mergeCell ref="A22:F22"/>
    <mergeCell ref="A4:F4"/>
    <mergeCell ref="D8:F8"/>
  </mergeCells>
  <hyperlinks>
    <hyperlink ref="A2" location="Index!A1" display="← Back to Index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46" customWidth="1"/>
    <col min="2" max="6" width="20" customWidth="1"/>
  </cols>
  <sheetData>
    <row r="1" spans="1:6" x14ac:dyDescent="0.35">
      <c r="A1" s="20" t="s">
        <v>41</v>
      </c>
      <c r="B1" s="17"/>
      <c r="C1" s="17"/>
      <c r="D1" s="17"/>
      <c r="E1" s="17"/>
      <c r="F1" s="17"/>
    </row>
    <row r="2" spans="1:6" x14ac:dyDescent="0.35">
      <c r="A2" s="2" t="s">
        <v>8</v>
      </c>
    </row>
    <row r="4" spans="1:6" x14ac:dyDescent="0.35">
      <c r="A4" s="21" t="s">
        <v>9</v>
      </c>
      <c r="B4" s="17"/>
      <c r="C4" s="17"/>
      <c r="D4" s="17"/>
      <c r="E4" s="17"/>
      <c r="F4" s="17"/>
    </row>
    <row r="5" spans="1:6" x14ac:dyDescent="0.35">
      <c r="A5" s="3" t="s">
        <v>10</v>
      </c>
      <c r="B5" s="4">
        <v>42000</v>
      </c>
      <c r="D5" s="18" t="s">
        <v>11</v>
      </c>
      <c r="E5" s="14"/>
      <c r="F5" s="15"/>
    </row>
    <row r="6" spans="1:6" ht="29" customHeight="1" x14ac:dyDescent="0.35">
      <c r="A6" s="3" t="s">
        <v>12</v>
      </c>
      <c r="B6" s="4">
        <v>2400</v>
      </c>
      <c r="D6" s="3" t="s">
        <v>13</v>
      </c>
      <c r="E6" s="4">
        <f>B8/B10</f>
        <v>121.05263157894737</v>
      </c>
    </row>
    <row r="7" spans="1:6" ht="29" customHeight="1" x14ac:dyDescent="0.35">
      <c r="A7" s="3" t="s">
        <v>14</v>
      </c>
      <c r="B7" s="4">
        <v>1300</v>
      </c>
      <c r="D7" s="3" t="s">
        <v>15</v>
      </c>
      <c r="E7" s="4">
        <f>B7/B10</f>
        <v>13.684210526315789</v>
      </c>
    </row>
    <row r="8" spans="1:6" x14ac:dyDescent="0.35">
      <c r="A8" s="3" t="s">
        <v>16</v>
      </c>
      <c r="B8" s="4">
        <v>11500</v>
      </c>
      <c r="D8" s="21" t="s">
        <v>17</v>
      </c>
      <c r="E8" s="17"/>
      <c r="F8" s="17"/>
    </row>
    <row r="9" spans="1:6" x14ac:dyDescent="0.35">
      <c r="A9" s="3" t="s">
        <v>18</v>
      </c>
      <c r="B9" s="4">
        <v>6200</v>
      </c>
      <c r="D9" s="3" t="s">
        <v>19</v>
      </c>
      <c r="E9" s="5">
        <v>1.8</v>
      </c>
    </row>
    <row r="10" spans="1:6" x14ac:dyDescent="0.35">
      <c r="A10" s="3" t="s">
        <v>20</v>
      </c>
      <c r="B10" s="6">
        <v>95</v>
      </c>
      <c r="D10" s="3" t="s">
        <v>21</v>
      </c>
      <c r="E10" s="5">
        <v>12.2</v>
      </c>
    </row>
    <row r="11" spans="1:6" x14ac:dyDescent="0.35">
      <c r="D11" s="3" t="s">
        <v>22</v>
      </c>
      <c r="E11" s="5">
        <v>2.4</v>
      </c>
    </row>
    <row r="12" spans="1:6" x14ac:dyDescent="0.35">
      <c r="D12" s="3" t="s">
        <v>23</v>
      </c>
      <c r="E12" s="5">
        <v>18</v>
      </c>
    </row>
    <row r="14" spans="1:6" ht="17" customHeight="1" x14ac:dyDescent="0.35">
      <c r="A14" s="19" t="s">
        <v>24</v>
      </c>
      <c r="B14" s="14"/>
      <c r="C14" s="14"/>
      <c r="D14" s="14"/>
      <c r="E14" s="14"/>
      <c r="F14" s="15"/>
    </row>
    <row r="15" spans="1:6" ht="29" customHeight="1" x14ac:dyDescent="0.35">
      <c r="A15" s="7"/>
      <c r="B15" s="8"/>
      <c r="C15" s="8"/>
      <c r="D15" s="8" t="s">
        <v>25</v>
      </c>
      <c r="E15" s="8" t="s">
        <v>21</v>
      </c>
      <c r="F15" s="8"/>
    </row>
    <row r="16" spans="1:6" x14ac:dyDescent="0.35">
      <c r="A16" s="9" t="s">
        <v>26</v>
      </c>
      <c r="D16" s="10">
        <f>B5</f>
        <v>42000</v>
      </c>
      <c r="E16" s="10">
        <f>B6</f>
        <v>2400</v>
      </c>
    </row>
    <row r="17" spans="1:6" x14ac:dyDescent="0.35">
      <c r="A17" s="9" t="s">
        <v>27</v>
      </c>
      <c r="D17" s="11">
        <f>E9</f>
        <v>1.8</v>
      </c>
      <c r="E17" s="11">
        <f>E10</f>
        <v>12.2</v>
      </c>
    </row>
    <row r="18" spans="1:6" x14ac:dyDescent="0.35">
      <c r="A18" s="9" t="s">
        <v>28</v>
      </c>
      <c r="D18" s="12">
        <f>D16*D17</f>
        <v>75600</v>
      </c>
      <c r="E18" s="12">
        <f>E16*E17</f>
        <v>29280</v>
      </c>
    </row>
    <row r="19" spans="1:6" x14ac:dyDescent="0.35">
      <c r="A19" s="9" t="s">
        <v>29</v>
      </c>
      <c r="D19" s="10">
        <f>B9</f>
        <v>6200</v>
      </c>
      <c r="E19" s="10">
        <f>B9</f>
        <v>6200</v>
      </c>
    </row>
    <row r="20" spans="1:6" x14ac:dyDescent="0.35">
      <c r="A20" s="9" t="s">
        <v>30</v>
      </c>
      <c r="D20" s="12">
        <f>D18-D19</f>
        <v>69400</v>
      </c>
      <c r="E20" s="12">
        <f>E18-E19</f>
        <v>23080</v>
      </c>
    </row>
    <row r="21" spans="1:6" x14ac:dyDescent="0.35">
      <c r="A21" s="9" t="s">
        <v>31</v>
      </c>
      <c r="D21" s="12">
        <f>D20/$B$10</f>
        <v>730.52631578947364</v>
      </c>
      <c r="E21" s="12">
        <f>E20/$B$10</f>
        <v>242.94736842105263</v>
      </c>
    </row>
    <row r="22" spans="1:6" ht="17" customHeight="1" x14ac:dyDescent="0.35">
      <c r="A22" s="19" t="s">
        <v>32</v>
      </c>
      <c r="B22" s="14"/>
      <c r="C22" s="14"/>
      <c r="D22" s="14"/>
      <c r="E22" s="14"/>
      <c r="F22" s="15"/>
    </row>
    <row r="23" spans="1:6" x14ac:dyDescent="0.35">
      <c r="A23" s="7"/>
      <c r="B23" s="8"/>
      <c r="C23" s="8"/>
      <c r="D23" s="8" t="s">
        <v>33</v>
      </c>
      <c r="E23" s="8" t="s">
        <v>34</v>
      </c>
      <c r="F23" s="8"/>
    </row>
    <row r="24" spans="1:6" x14ac:dyDescent="0.35">
      <c r="A24" s="9" t="s">
        <v>35</v>
      </c>
      <c r="D24" s="10">
        <f>E6</f>
        <v>121.05263157894737</v>
      </c>
      <c r="E24" s="10">
        <f>E7</f>
        <v>13.684210526315789</v>
      </c>
    </row>
    <row r="25" spans="1:6" x14ac:dyDescent="0.35">
      <c r="A25" s="7" t="s">
        <v>36</v>
      </c>
      <c r="D25" s="11">
        <f>E11</f>
        <v>2.4</v>
      </c>
      <c r="E25" s="11">
        <f>E12</f>
        <v>18</v>
      </c>
    </row>
    <row r="26" spans="1:6" x14ac:dyDescent="0.35">
      <c r="A26" s="7" t="s">
        <v>37</v>
      </c>
      <c r="D26" s="12">
        <f>D24*D25</f>
        <v>290.5263157894737</v>
      </c>
      <c r="E26" s="12">
        <f>E24*E25</f>
        <v>246.31578947368422</v>
      </c>
    </row>
    <row r="27" spans="1:6" x14ac:dyDescent="0.35">
      <c r="A27" s="9" t="s">
        <v>38</v>
      </c>
      <c r="D27" s="10">
        <f>D26*$B$10</f>
        <v>27600</v>
      </c>
      <c r="E27" s="10">
        <f>E26*$B$10</f>
        <v>23400</v>
      </c>
    </row>
    <row r="28" spans="1:6" x14ac:dyDescent="0.35">
      <c r="A28" s="9" t="s">
        <v>39</v>
      </c>
      <c r="D28" s="10">
        <f>B9</f>
        <v>6200</v>
      </c>
      <c r="E28" s="10">
        <f>B9</f>
        <v>6200</v>
      </c>
    </row>
    <row r="29" spans="1:6" x14ac:dyDescent="0.35">
      <c r="A29" s="7" t="s">
        <v>28</v>
      </c>
      <c r="D29" s="12">
        <f>D27+D28</f>
        <v>33800</v>
      </c>
      <c r="E29" s="12">
        <f>E27+E28</f>
        <v>29600</v>
      </c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D5:F5"/>
    <mergeCell ref="A14:F14"/>
    <mergeCell ref="A1:F1"/>
    <mergeCell ref="A22:F22"/>
    <mergeCell ref="A4:F4"/>
    <mergeCell ref="D8:F8"/>
  </mergeCells>
  <hyperlinks>
    <hyperlink ref="A2" location="Index!A1" display="← Back to Index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4" topLeftCell="A40" activePane="bottomLeft" state="frozen"/>
      <selection pane="bottomLeft" sqref="A1:F1"/>
    </sheetView>
  </sheetViews>
  <sheetFormatPr defaultRowHeight="14.5" x14ac:dyDescent="0.35"/>
  <cols>
    <col min="1" max="1" width="46" customWidth="1"/>
    <col min="2" max="6" width="20" customWidth="1"/>
  </cols>
  <sheetData>
    <row r="1" spans="1:6" x14ac:dyDescent="0.35">
      <c r="A1" s="20" t="s">
        <v>42</v>
      </c>
      <c r="B1" s="17"/>
      <c r="C1" s="17"/>
      <c r="D1" s="17"/>
      <c r="E1" s="17"/>
      <c r="F1" s="17"/>
    </row>
    <row r="2" spans="1:6" x14ac:dyDescent="0.35">
      <c r="A2" s="2" t="s">
        <v>8</v>
      </c>
    </row>
    <row r="4" spans="1:6" x14ac:dyDescent="0.35">
      <c r="A4" s="21" t="s">
        <v>9</v>
      </c>
      <c r="B4" s="17"/>
      <c r="C4" s="17"/>
      <c r="D4" s="17"/>
      <c r="E4" s="17"/>
      <c r="F4" s="17"/>
    </row>
    <row r="5" spans="1:6" x14ac:dyDescent="0.35">
      <c r="A5" s="3" t="s">
        <v>10</v>
      </c>
      <c r="B5" s="4">
        <v>12800</v>
      </c>
      <c r="D5" s="18" t="s">
        <v>11</v>
      </c>
      <c r="E5" s="14"/>
      <c r="F5" s="15"/>
    </row>
    <row r="6" spans="1:6" ht="29" customHeight="1" x14ac:dyDescent="0.35">
      <c r="A6" s="3" t="s">
        <v>12</v>
      </c>
      <c r="B6" s="4">
        <v>1050</v>
      </c>
      <c r="D6" s="3" t="s">
        <v>13</v>
      </c>
      <c r="E6" s="4">
        <f>B8/B10</f>
        <v>81.578947368421055</v>
      </c>
    </row>
    <row r="7" spans="1:6" ht="29" customHeight="1" x14ac:dyDescent="0.35">
      <c r="A7" s="3" t="s">
        <v>14</v>
      </c>
      <c r="B7" s="4">
        <v>720</v>
      </c>
      <c r="D7" s="3" t="s">
        <v>15</v>
      </c>
      <c r="E7" s="4">
        <f>B7/B10</f>
        <v>18.94736842105263</v>
      </c>
    </row>
    <row r="8" spans="1:6" x14ac:dyDescent="0.35">
      <c r="A8" s="3" t="s">
        <v>16</v>
      </c>
      <c r="B8" s="4">
        <v>3100</v>
      </c>
      <c r="D8" s="21" t="s">
        <v>17</v>
      </c>
      <c r="E8" s="17"/>
      <c r="F8" s="17"/>
    </row>
    <row r="9" spans="1:6" x14ac:dyDescent="0.35">
      <c r="A9" s="3" t="s">
        <v>18</v>
      </c>
      <c r="B9" s="4">
        <v>450</v>
      </c>
      <c r="D9" s="3" t="s">
        <v>19</v>
      </c>
      <c r="E9" s="5">
        <v>8</v>
      </c>
    </row>
    <row r="10" spans="1:6" x14ac:dyDescent="0.35">
      <c r="A10" s="3" t="s">
        <v>20</v>
      </c>
      <c r="B10" s="6">
        <v>38</v>
      </c>
      <c r="D10" s="3" t="s">
        <v>21</v>
      </c>
      <c r="E10" s="5">
        <v>25.8</v>
      </c>
    </row>
    <row r="11" spans="1:6" x14ac:dyDescent="0.35">
      <c r="D11" s="3" t="s">
        <v>22</v>
      </c>
      <c r="E11" s="5">
        <v>8.8000000000000007</v>
      </c>
    </row>
    <row r="12" spans="1:6" x14ac:dyDescent="0.35">
      <c r="D12" s="3" t="s">
        <v>23</v>
      </c>
      <c r="E12" s="5">
        <v>40.5</v>
      </c>
    </row>
    <row r="14" spans="1:6" ht="17" customHeight="1" x14ac:dyDescent="0.35">
      <c r="A14" s="19" t="s">
        <v>24</v>
      </c>
      <c r="B14" s="14"/>
      <c r="C14" s="14"/>
      <c r="D14" s="14"/>
      <c r="E14" s="14"/>
      <c r="F14" s="15"/>
    </row>
    <row r="15" spans="1:6" ht="29" customHeight="1" x14ac:dyDescent="0.35">
      <c r="A15" s="7"/>
      <c r="B15" s="8"/>
      <c r="C15" s="8"/>
      <c r="D15" s="8" t="s">
        <v>25</v>
      </c>
      <c r="E15" s="8" t="s">
        <v>21</v>
      </c>
      <c r="F15" s="8"/>
    </row>
    <row r="16" spans="1:6" x14ac:dyDescent="0.35">
      <c r="A16" s="9" t="s">
        <v>26</v>
      </c>
      <c r="D16" s="10">
        <f>B5</f>
        <v>12800</v>
      </c>
      <c r="E16" s="10">
        <f>B6</f>
        <v>1050</v>
      </c>
    </row>
    <row r="17" spans="1:6" x14ac:dyDescent="0.35">
      <c r="A17" s="9" t="s">
        <v>27</v>
      </c>
      <c r="D17" s="11">
        <f>E9</f>
        <v>8</v>
      </c>
      <c r="E17" s="11">
        <f>E10</f>
        <v>25.8</v>
      </c>
    </row>
    <row r="18" spans="1:6" x14ac:dyDescent="0.35">
      <c r="A18" s="9" t="s">
        <v>28</v>
      </c>
      <c r="D18" s="12">
        <f>D16*D17</f>
        <v>102400</v>
      </c>
      <c r="E18" s="12">
        <f>E16*E17</f>
        <v>27090</v>
      </c>
    </row>
    <row r="19" spans="1:6" x14ac:dyDescent="0.35">
      <c r="A19" s="9" t="s">
        <v>29</v>
      </c>
      <c r="D19" s="10">
        <f>B9</f>
        <v>450</v>
      </c>
      <c r="E19" s="10">
        <f>B9</f>
        <v>450</v>
      </c>
    </row>
    <row r="20" spans="1:6" x14ac:dyDescent="0.35">
      <c r="A20" s="9" t="s">
        <v>30</v>
      </c>
      <c r="D20" s="12">
        <f>D18-D19</f>
        <v>101950</v>
      </c>
      <c r="E20" s="12">
        <f>E18-E19</f>
        <v>26640</v>
      </c>
    </row>
    <row r="21" spans="1:6" x14ac:dyDescent="0.35">
      <c r="A21" s="9" t="s">
        <v>31</v>
      </c>
      <c r="D21" s="12">
        <f>D20/$B$10</f>
        <v>2682.8947368421054</v>
      </c>
      <c r="E21" s="12">
        <f>E20/$B$10</f>
        <v>701.0526315789474</v>
      </c>
    </row>
    <row r="22" spans="1:6" ht="17" customHeight="1" x14ac:dyDescent="0.35">
      <c r="A22" s="19" t="s">
        <v>32</v>
      </c>
      <c r="B22" s="14"/>
      <c r="C22" s="14"/>
      <c r="D22" s="14"/>
      <c r="E22" s="14"/>
      <c r="F22" s="15"/>
    </row>
    <row r="23" spans="1:6" x14ac:dyDescent="0.35">
      <c r="A23" s="7"/>
      <c r="B23" s="8"/>
      <c r="C23" s="8"/>
      <c r="D23" s="8" t="s">
        <v>33</v>
      </c>
      <c r="E23" s="8" t="s">
        <v>34</v>
      </c>
      <c r="F23" s="8"/>
    </row>
    <row r="24" spans="1:6" x14ac:dyDescent="0.35">
      <c r="A24" s="9" t="s">
        <v>35</v>
      </c>
      <c r="D24" s="10">
        <f>E6</f>
        <v>81.578947368421055</v>
      </c>
      <c r="E24" s="10">
        <f>E7</f>
        <v>18.94736842105263</v>
      </c>
    </row>
    <row r="25" spans="1:6" x14ac:dyDescent="0.35">
      <c r="A25" s="7" t="s">
        <v>36</v>
      </c>
      <c r="D25" s="11">
        <f>E11</f>
        <v>8.8000000000000007</v>
      </c>
      <c r="E25" s="11">
        <f>E12</f>
        <v>40.5</v>
      </c>
    </row>
    <row r="26" spans="1:6" x14ac:dyDescent="0.35">
      <c r="A26" s="7" t="s">
        <v>37</v>
      </c>
      <c r="D26" s="12">
        <f>D24*D25</f>
        <v>717.89473684210532</v>
      </c>
      <c r="E26" s="12">
        <f>E24*E25</f>
        <v>767.36842105263156</v>
      </c>
    </row>
    <row r="27" spans="1:6" x14ac:dyDescent="0.35">
      <c r="A27" s="9" t="s">
        <v>38</v>
      </c>
      <c r="D27" s="10">
        <f>D26*$B$10</f>
        <v>27280.000000000004</v>
      </c>
      <c r="E27" s="10">
        <f>E26*$B$10</f>
        <v>29160</v>
      </c>
    </row>
    <row r="28" spans="1:6" x14ac:dyDescent="0.35">
      <c r="A28" s="9" t="s">
        <v>39</v>
      </c>
      <c r="D28" s="10">
        <f>B9</f>
        <v>450</v>
      </c>
      <c r="E28" s="10">
        <f>B9</f>
        <v>450</v>
      </c>
    </row>
    <row r="29" spans="1:6" x14ac:dyDescent="0.35">
      <c r="A29" s="7" t="s">
        <v>28</v>
      </c>
      <c r="D29" s="12">
        <f>D27+D28</f>
        <v>27730.000000000004</v>
      </c>
      <c r="E29" s="12">
        <f>E27+E28</f>
        <v>29610</v>
      </c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D5:F5"/>
    <mergeCell ref="A14:F14"/>
    <mergeCell ref="A1:F1"/>
    <mergeCell ref="A22:F22"/>
    <mergeCell ref="A4:F4"/>
    <mergeCell ref="D8:F8"/>
  </mergeCells>
  <hyperlinks>
    <hyperlink ref="A2" location="Index!A1" display="← Back to Index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46" customWidth="1"/>
    <col min="2" max="6" width="20" customWidth="1"/>
  </cols>
  <sheetData>
    <row r="1" spans="1:6" x14ac:dyDescent="0.35">
      <c r="A1" s="20" t="s">
        <v>43</v>
      </c>
      <c r="B1" s="17"/>
      <c r="C1" s="17"/>
      <c r="D1" s="17"/>
      <c r="E1" s="17"/>
      <c r="F1" s="17"/>
    </row>
    <row r="2" spans="1:6" x14ac:dyDescent="0.35">
      <c r="A2" s="2" t="s">
        <v>8</v>
      </c>
    </row>
    <row r="4" spans="1:6" x14ac:dyDescent="0.35">
      <c r="A4" s="21" t="s">
        <v>9</v>
      </c>
      <c r="B4" s="17"/>
      <c r="C4" s="17"/>
      <c r="D4" s="17"/>
      <c r="E4" s="17"/>
      <c r="F4" s="17"/>
    </row>
    <row r="5" spans="1:6" x14ac:dyDescent="0.35">
      <c r="A5" s="3" t="s">
        <v>10</v>
      </c>
      <c r="B5" s="4">
        <v>4800</v>
      </c>
      <c r="D5" s="18" t="s">
        <v>11</v>
      </c>
      <c r="E5" s="14"/>
      <c r="F5" s="15"/>
    </row>
    <row r="6" spans="1:6" ht="29" customHeight="1" x14ac:dyDescent="0.35">
      <c r="A6" s="3" t="s">
        <v>12</v>
      </c>
      <c r="B6" s="4">
        <v>680</v>
      </c>
      <c r="D6" s="3" t="s">
        <v>13</v>
      </c>
      <c r="E6" s="4">
        <f>B8/B10</f>
        <v>72.222222222222229</v>
      </c>
    </row>
    <row r="7" spans="1:6" ht="29" customHeight="1" x14ac:dyDescent="0.35">
      <c r="A7" s="3" t="s">
        <v>14</v>
      </c>
      <c r="B7" s="4">
        <v>410</v>
      </c>
      <c r="D7" s="3" t="s">
        <v>15</v>
      </c>
      <c r="E7" s="4">
        <f>B7/B10</f>
        <v>5.6944444444444446</v>
      </c>
    </row>
    <row r="8" spans="1:6" x14ac:dyDescent="0.35">
      <c r="A8" s="3" t="s">
        <v>16</v>
      </c>
      <c r="B8" s="4">
        <v>5200</v>
      </c>
      <c r="D8" s="21" t="s">
        <v>17</v>
      </c>
      <c r="E8" s="17"/>
      <c r="F8" s="17"/>
    </row>
    <row r="9" spans="1:6" x14ac:dyDescent="0.35">
      <c r="A9" s="3" t="s">
        <v>18</v>
      </c>
      <c r="B9" s="4">
        <v>3600</v>
      </c>
      <c r="D9" s="3" t="s">
        <v>19</v>
      </c>
      <c r="E9" s="5">
        <v>6.9</v>
      </c>
    </row>
    <row r="10" spans="1:6" x14ac:dyDescent="0.35">
      <c r="A10" s="3" t="s">
        <v>20</v>
      </c>
      <c r="B10" s="6">
        <v>72</v>
      </c>
      <c r="D10" s="3" t="s">
        <v>21</v>
      </c>
      <c r="E10" s="5">
        <v>13.8</v>
      </c>
    </row>
    <row r="11" spans="1:6" x14ac:dyDescent="0.35">
      <c r="D11" s="3" t="s">
        <v>22</v>
      </c>
      <c r="E11" s="5">
        <v>3.2</v>
      </c>
    </row>
    <row r="12" spans="1:6" x14ac:dyDescent="0.35">
      <c r="D12" s="3" t="s">
        <v>23</v>
      </c>
      <c r="E12" s="5">
        <v>28</v>
      </c>
    </row>
    <row r="14" spans="1:6" ht="17" customHeight="1" x14ac:dyDescent="0.35">
      <c r="A14" s="19" t="s">
        <v>24</v>
      </c>
      <c r="B14" s="14"/>
      <c r="C14" s="14"/>
      <c r="D14" s="14"/>
      <c r="E14" s="14"/>
      <c r="F14" s="15"/>
    </row>
    <row r="15" spans="1:6" ht="29" customHeight="1" x14ac:dyDescent="0.35">
      <c r="A15" s="7"/>
      <c r="B15" s="8"/>
      <c r="C15" s="8"/>
      <c r="D15" s="8" t="s">
        <v>25</v>
      </c>
      <c r="E15" s="8" t="s">
        <v>21</v>
      </c>
      <c r="F15" s="8"/>
    </row>
    <row r="16" spans="1:6" x14ac:dyDescent="0.35">
      <c r="A16" s="9" t="s">
        <v>26</v>
      </c>
      <c r="D16" s="10">
        <f>B5</f>
        <v>4800</v>
      </c>
      <c r="E16" s="10">
        <f>B6</f>
        <v>680</v>
      </c>
    </row>
    <row r="17" spans="1:6" x14ac:dyDescent="0.35">
      <c r="A17" s="9" t="s">
        <v>27</v>
      </c>
      <c r="D17" s="11">
        <f>E9</f>
        <v>6.9</v>
      </c>
      <c r="E17" s="11">
        <f>E10</f>
        <v>13.8</v>
      </c>
    </row>
    <row r="18" spans="1:6" x14ac:dyDescent="0.35">
      <c r="A18" s="9" t="s">
        <v>28</v>
      </c>
      <c r="D18" s="12">
        <f>D16*D17</f>
        <v>33120</v>
      </c>
      <c r="E18" s="12">
        <f>E16*E17</f>
        <v>9384</v>
      </c>
    </row>
    <row r="19" spans="1:6" x14ac:dyDescent="0.35">
      <c r="A19" s="9" t="s">
        <v>29</v>
      </c>
      <c r="D19" s="10">
        <f>B9</f>
        <v>3600</v>
      </c>
      <c r="E19" s="10">
        <f>B9</f>
        <v>3600</v>
      </c>
    </row>
    <row r="20" spans="1:6" x14ac:dyDescent="0.35">
      <c r="A20" s="9" t="s">
        <v>30</v>
      </c>
      <c r="D20" s="12">
        <f>D18-D19</f>
        <v>29520</v>
      </c>
      <c r="E20" s="12">
        <f>E18-E19</f>
        <v>5784</v>
      </c>
    </row>
    <row r="21" spans="1:6" x14ac:dyDescent="0.35">
      <c r="A21" s="9" t="s">
        <v>31</v>
      </c>
      <c r="D21" s="12">
        <f>D20/$B$10</f>
        <v>410</v>
      </c>
      <c r="E21" s="12">
        <f>E20/$B$10</f>
        <v>80.333333333333329</v>
      </c>
    </row>
    <row r="22" spans="1:6" ht="17" customHeight="1" x14ac:dyDescent="0.35">
      <c r="A22" s="19" t="s">
        <v>32</v>
      </c>
      <c r="B22" s="14"/>
      <c r="C22" s="14"/>
      <c r="D22" s="14"/>
      <c r="E22" s="14"/>
      <c r="F22" s="15"/>
    </row>
    <row r="23" spans="1:6" x14ac:dyDescent="0.35">
      <c r="A23" s="7"/>
      <c r="B23" s="8"/>
      <c r="C23" s="8"/>
      <c r="D23" s="8" t="s">
        <v>33</v>
      </c>
      <c r="E23" s="8" t="s">
        <v>34</v>
      </c>
      <c r="F23" s="8"/>
    </row>
    <row r="24" spans="1:6" x14ac:dyDescent="0.35">
      <c r="A24" s="9" t="s">
        <v>35</v>
      </c>
      <c r="D24" s="10">
        <f>E6</f>
        <v>72.222222222222229</v>
      </c>
      <c r="E24" s="10">
        <f>E7</f>
        <v>5.6944444444444446</v>
      </c>
    </row>
    <row r="25" spans="1:6" x14ac:dyDescent="0.35">
      <c r="A25" s="7" t="s">
        <v>36</v>
      </c>
      <c r="D25" s="11">
        <f>E11</f>
        <v>3.2</v>
      </c>
      <c r="E25" s="11">
        <f>E12</f>
        <v>28</v>
      </c>
    </row>
    <row r="26" spans="1:6" x14ac:dyDescent="0.35">
      <c r="A26" s="7" t="s">
        <v>37</v>
      </c>
      <c r="D26" s="12">
        <f>D24*D25</f>
        <v>231.11111111111114</v>
      </c>
      <c r="E26" s="12">
        <f>E24*E25</f>
        <v>159.44444444444446</v>
      </c>
    </row>
    <row r="27" spans="1:6" x14ac:dyDescent="0.35">
      <c r="A27" s="9" t="s">
        <v>38</v>
      </c>
      <c r="D27" s="10">
        <f>D26*$B$10</f>
        <v>16640.000000000004</v>
      </c>
      <c r="E27" s="10">
        <f>E26*$B$10</f>
        <v>11480</v>
      </c>
    </row>
    <row r="28" spans="1:6" x14ac:dyDescent="0.35">
      <c r="A28" s="9" t="s">
        <v>39</v>
      </c>
      <c r="D28" s="10">
        <f>B9</f>
        <v>3600</v>
      </c>
      <c r="E28" s="10">
        <f>B9</f>
        <v>3600</v>
      </c>
    </row>
    <row r="29" spans="1:6" x14ac:dyDescent="0.35">
      <c r="A29" s="7" t="s">
        <v>28</v>
      </c>
      <c r="D29" s="12">
        <f>D27+D28</f>
        <v>20240.000000000004</v>
      </c>
      <c r="E29" s="12">
        <f>E27+E28</f>
        <v>15080</v>
      </c>
    </row>
  </sheetData>
  <sheetProtection password="AE3A" sheet="1" objects="1" scenarios="1" formatCells="0" formatColumns="0" formatRows="0" insertColumns="0" insertRows="0" deleteColumns="0" deleteRows="0" sort="0" autoFilter="0" pivotTables="0"/>
  <mergeCells count="6">
    <mergeCell ref="D5:F5"/>
    <mergeCell ref="A14:F14"/>
    <mergeCell ref="A1:F1"/>
    <mergeCell ref="A22:F22"/>
    <mergeCell ref="A4:F4"/>
    <mergeCell ref="D8:F8"/>
  </mergeCells>
  <hyperlinks>
    <hyperlink ref="A2" location="Index!A1" display="← Back to Index" xr:uid="{00000000-0004-0000-05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P1_Pharma</vt:lpstr>
      <vt:lpstr>P2_IT</vt:lpstr>
      <vt:lpstr>P3_Auto</vt:lpstr>
      <vt:lpstr>P4_FMCG</vt:lpstr>
      <vt:lpstr>P5_Renew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srikanthyadav444p</cp:lastModifiedBy>
  <dcterms:created xsi:type="dcterms:W3CDTF">2025-12-16T06:44:34Z</dcterms:created>
  <dcterms:modified xsi:type="dcterms:W3CDTF">2025-12-16T10:20:23Z</dcterms:modified>
</cp:coreProperties>
</file>